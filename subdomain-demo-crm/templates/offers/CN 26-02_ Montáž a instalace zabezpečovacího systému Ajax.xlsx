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192" documentId="13_ncr:1_{AEF5A135-32DA-4D83-BAD9-50382D9D81BF}" xr6:coauthVersionLast="47" xr6:coauthVersionMax="47" xr10:uidLastSave="{07AF8467-7F18-4643-A5E5-0EE6B13A7921}"/>
  <bookViews>
    <workbookView xWindow="-108" yWindow="-108" windowWidth="23256" windowHeight="13896" xr2:uid="{00000000-000D-0000-FFFF-FFFF00000000}"/>
  </bookViews>
  <sheets>
    <sheet name="Montáž zabezpečovací systém" sheetId="6" r:id="rId1"/>
  </sheets>
  <definedNames>
    <definedName name="_xlnm.Print_Area" localSheetId="0">'Montáž zabezpečovací systém'!$A$1:$H$53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6" l="1"/>
  <c r="G27" i="6"/>
  <c r="G46" i="6"/>
  <c r="G45" i="6"/>
  <c r="G37" i="6"/>
  <c r="G38" i="6"/>
  <c r="G26" i="6"/>
  <c r="G21" i="6"/>
  <c r="G20" i="6"/>
  <c r="G19" i="6"/>
  <c r="G25" i="6" l="1"/>
  <c r="G42" i="6" l="1"/>
  <c r="G41" i="6"/>
  <c r="G40" i="6"/>
  <c r="G24" i="6"/>
  <c r="G23" i="6"/>
  <c r="G35" i="6"/>
  <c r="G17" i="6"/>
  <c r="G28" i="6" l="1"/>
  <c r="G22" i="6"/>
  <c r="G15" i="6"/>
  <c r="G14" i="6"/>
  <c r="G32" i="6"/>
  <c r="G33" i="6"/>
  <c r="G34" i="6"/>
  <c r="G36" i="6"/>
  <c r="G39" i="6"/>
  <c r="G44" i="6"/>
  <c r="G47" i="6" l="1"/>
  <c r="G16" i="6"/>
  <c r="G18" i="6"/>
  <c r="G29" i="6" l="1"/>
  <c r="G49" i="6" s="1"/>
  <c r="G50" i="6" l="1"/>
  <c r="G51" i="6" s="1"/>
  <c r="XEO25" i="6" l="1"/>
</calcChain>
</file>

<file path=xl/sharedStrings.xml><?xml version="1.0" encoding="utf-8"?>
<sst xmlns="http://schemas.openxmlformats.org/spreadsheetml/2006/main" count="85" uniqueCount="56">
  <si>
    <t>Popis položky</t>
  </si>
  <si>
    <t>CELKOVÁ CENA BEZ DPH</t>
  </si>
  <si>
    <t>CELKOVÁ CENA VČETNĚ DPH</t>
  </si>
  <si>
    <t>MJ</t>
  </si>
  <si>
    <t>ks</t>
  </si>
  <si>
    <t>kpl</t>
  </si>
  <si>
    <t>DPH 21 %</t>
  </si>
  <si>
    <t>Práce</t>
  </si>
  <si>
    <t>Množství</t>
  </si>
  <si>
    <t>Materiál</t>
  </si>
  <si>
    <t>Celkem</t>
  </si>
  <si>
    <t>Dodavatel:</t>
  </si>
  <si>
    <t>O&amp;L MasterDom s.r.o.</t>
  </si>
  <si>
    <t>IČO: 17326583</t>
  </si>
  <si>
    <t>Moskevská 1464/61 Praha 10 - Vršovice 101 00</t>
  </si>
  <si>
    <t>Tel: +420 608 643 634</t>
  </si>
  <si>
    <t xml:space="preserve">Název objektu: </t>
  </si>
  <si>
    <t>Jednotková cena bez DPH</t>
  </si>
  <si>
    <t>Číslo položky</t>
  </si>
  <si>
    <t>Objednatel:</t>
  </si>
  <si>
    <t>Ajax Hub 2 Plus, bílá</t>
  </si>
  <si>
    <t>Montáž a nastavení ovládací panel Ajax Hub 2 Plus</t>
  </si>
  <si>
    <t xml:space="preserve">Montáž detektoru PIR a senzoru MotionProtect Plus </t>
  </si>
  <si>
    <t xml:space="preserve">Montáž detektoru na dveře DoorProtect Plus </t>
  </si>
  <si>
    <t>Celková cena         bez DPH</t>
  </si>
  <si>
    <t>Montáž IndoorCam vnitřní Wi-Fi bezpečnostní kamery</t>
  </si>
  <si>
    <t xml:space="preserve">Ajax MotionCam PhOD, bílá </t>
  </si>
  <si>
    <t xml:space="preserve">Montáž detektoru pohybu s foto verifikací poplachu MotionCam (PhOD) </t>
  </si>
  <si>
    <t>Montáž NVR (8ch), 8 kanálový videorekordér</t>
  </si>
  <si>
    <t>Ajax NVR (8ch), 8 kanálový videorekordér</t>
  </si>
  <si>
    <t>Pevný disk, HDD 2TB</t>
  </si>
  <si>
    <t>Montáž pevného diska HDD 2TB</t>
  </si>
  <si>
    <t xml:space="preserve">Napájecí zdroj 12V 20W </t>
  </si>
  <si>
    <t>Montáž a zapojení napájecího transformátoru pro kamery</t>
  </si>
  <si>
    <t>Ajax DoorProtect Plus, bílá</t>
  </si>
  <si>
    <t>Ajax FireProtect 2 RB  (Heat/Smoke/CO), bílá</t>
  </si>
  <si>
    <t xml:space="preserve">Ajax MotionProtect Plus, bílá </t>
  </si>
  <si>
    <t xml:space="preserve">Ajax SpaceControl, bílá </t>
  </si>
  <si>
    <t>Ajax IndoorCam vnitřní Wi-Fi bezpečnostní kamera, bílá</t>
  </si>
  <si>
    <t>Byt Praha</t>
  </si>
  <si>
    <t>Montáž detektoru kombinovaného FireProtect 2 RB (Heat/Smoke/CO)</t>
  </si>
  <si>
    <t>Montáž detektoru pohybu s PIR senzorem + rozbití skla</t>
  </si>
  <si>
    <t>Montáž detektoru 2xPIR a senzoru CAM MotionCam PhOD</t>
  </si>
  <si>
    <t>Montáž venkovní bezdrátový detektor pohybu, 2xPIR+MW, záclona</t>
  </si>
  <si>
    <t>Nastavení dálkového ovládání Ajax SpaceControl</t>
  </si>
  <si>
    <t>Ajax Curtain Outdoor (záclona), bílá</t>
  </si>
  <si>
    <t xml:space="preserve">Ajax CombiProtect, bílá </t>
  </si>
  <si>
    <t xml:space="preserve">Drobný materiál </t>
  </si>
  <si>
    <t>Doprava, logistika a manipulace materiálu</t>
  </si>
  <si>
    <t>Nastavení a konfigurace systému Ajax vč. školení uživatele</t>
  </si>
  <si>
    <t>Montáž KeyPad dotyková klávesnice</t>
  </si>
  <si>
    <t>Ajax KeyPad klávesnice, bílá</t>
  </si>
  <si>
    <t xml:space="preserve">                Cenová nabídka 26-02</t>
  </si>
  <si>
    <t>Datum vytvoření:  15.01.2026</t>
  </si>
  <si>
    <t>Platí do:                    22.01.2026</t>
  </si>
  <si>
    <t xml:space="preserve">                               Montáž zabezpečovacího systému Ajax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</si>
</sst>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19" x14ac:knownFonts="1">
    <font>
      <sz val="11"/>
      <color theme="1"/>
      <name val="Calibri"/>
      <family val="2"/>
      <scheme val="minor"/>
    </font>
    <font>
      <sz val="10"/>
      <name val="Arial CE"/>
      <charset val="238"/>
    </font>
    <font>
      <b/>
      <sz val="14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28"/>
      <color rgb="FF002060"/>
      <name val="Aptos Narrow"/>
      <family val="2"/>
    </font>
    <font>
      <b/>
      <sz val="16"/>
      <color rgb="FF002060"/>
      <name val="Aptos Narrow"/>
      <family val="2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charset val="238"/>
    </font>
    <font>
      <b/>
      <sz val="12"/>
      <color rgb="FF002060"/>
      <name val="Calibri"/>
      <family val="2"/>
      <charset val="238"/>
      <scheme val="minor"/>
    </font>
    <font>
      <b/>
      <u/>
      <sz val="14"/>
      <color rgb="FF002060"/>
      <name val="Calibri"/>
      <family val="2"/>
      <scheme val="minor"/>
    </font>
    <font>
      <sz val="12"/>
      <color theme="1"/>
      <name val="Calibri Light"/>
      <family val="2"/>
      <charset val="238"/>
    </font>
    <font>
      <sz val="12"/>
      <name val="Calibri Light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3" fillId="4" borderId="9" xfId="0" applyFont="1" applyFill="1" applyBorder="1" applyAlignment="1">
      <alignment horizontal="center"/>
    </xf>
    <xf numFmtId="0" fontId="2" fillId="4" borderId="14" xfId="0" applyFont="1" applyFill="1" applyBorder="1" applyAlignment="1" applyProtection="1">
      <alignment horizontal="left" vertical="center" wrapText="1"/>
      <protection locked="0"/>
    </xf>
    <xf numFmtId="0" fontId="4" fillId="4" borderId="14" xfId="0" applyFont="1" applyFill="1" applyBorder="1" applyAlignment="1">
      <alignment horizontal="center" vertical="center" wrapText="1"/>
    </xf>
    <xf numFmtId="3" fontId="4" fillId="4" borderId="14" xfId="0" applyNumberFormat="1" applyFont="1" applyFill="1" applyBorder="1" applyAlignment="1">
      <alignment horizontal="right" vertical="center" wrapText="1"/>
    </xf>
    <xf numFmtId="164" fontId="4" fillId="4" borderId="14" xfId="0" applyNumberFormat="1" applyFont="1" applyFill="1" applyBorder="1" applyAlignment="1">
      <alignment horizontal="right" vertical="center" wrapText="1"/>
    </xf>
    <xf numFmtId="164" fontId="4" fillId="4" borderId="13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horizontal="right" vertical="center" wrapText="1"/>
      <protection locked="0"/>
    </xf>
    <xf numFmtId="3" fontId="2" fillId="0" borderId="5" xfId="0" applyNumberFormat="1" applyFont="1" applyBorder="1" applyAlignment="1" applyProtection="1">
      <alignment vertical="center" wrapText="1"/>
      <protection locked="0"/>
    </xf>
    <xf numFmtId="0" fontId="7" fillId="0" borderId="3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right" vertical="center" wrapText="1"/>
    </xf>
    <xf numFmtId="165" fontId="2" fillId="3" borderId="13" xfId="0" applyNumberFormat="1" applyFont="1" applyFill="1" applyBorder="1" applyAlignment="1">
      <alignment horizontal="right" vertical="center" wrapText="1"/>
    </xf>
    <xf numFmtId="165" fontId="2" fillId="4" borderId="13" xfId="0" applyNumberFormat="1" applyFont="1" applyFill="1" applyBorder="1" applyAlignment="1">
      <alignment horizontal="right" vertical="center" wrapText="1"/>
    </xf>
    <xf numFmtId="0" fontId="8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/>
    </xf>
    <xf numFmtId="0" fontId="8" fillId="5" borderId="0" xfId="0" applyFont="1" applyFill="1" applyAlignment="1">
      <alignment vertical="center" wrapText="1"/>
    </xf>
    <xf numFmtId="4" fontId="11" fillId="0" borderId="0" xfId="0" applyNumberFormat="1" applyFont="1"/>
    <xf numFmtId="0" fontId="17" fillId="0" borderId="1" xfId="0" applyFont="1" applyBorder="1" applyAlignment="1">
      <alignment horizontal="center" vertical="center"/>
    </xf>
    <xf numFmtId="165" fontId="17" fillId="0" borderId="1" xfId="0" applyNumberFormat="1" applyFont="1" applyBorder="1"/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right" vertical="center" wrapText="1"/>
    </xf>
    <xf numFmtId="165" fontId="18" fillId="0" borderId="1" xfId="0" applyNumberFormat="1" applyFont="1" applyBorder="1" applyAlignment="1">
      <alignment horizontal="right" vertical="center" wrapText="1"/>
    </xf>
    <xf numFmtId="165" fontId="18" fillId="0" borderId="2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/>
    </xf>
    <xf numFmtId="164" fontId="2" fillId="0" borderId="2" xfId="0" applyNumberFormat="1" applyFont="1" applyBorder="1" applyAlignment="1" applyProtection="1">
      <alignment vertical="center" wrapText="1"/>
      <protection locked="0"/>
    </xf>
    <xf numFmtId="164" fontId="2" fillId="0" borderId="6" xfId="0" applyNumberFormat="1" applyFont="1" applyBorder="1" applyAlignment="1" applyProtection="1">
      <alignment vertical="center" wrapText="1"/>
      <protection locked="0"/>
    </xf>
    <xf numFmtId="165" fontId="18" fillId="0" borderId="8" xfId="0" applyNumberFormat="1" applyFont="1" applyBorder="1" applyAlignment="1">
      <alignment horizontal="right" vertical="center" wrapText="1"/>
    </xf>
    <xf numFmtId="165" fontId="18" fillId="0" borderId="16" xfId="0" applyNumberFormat="1" applyFont="1" applyBorder="1" applyAlignment="1">
      <alignment horizontal="right" vertical="center" wrapText="1"/>
    </xf>
    <xf numFmtId="0" fontId="17" fillId="0" borderId="17" xfId="0" applyFont="1" applyBorder="1" applyAlignment="1">
      <alignment horizontal="left" vertical="center"/>
    </xf>
    <xf numFmtId="0" fontId="14" fillId="3" borderId="9" xfId="0" applyFont="1" applyFill="1" applyBorder="1" applyAlignment="1">
      <alignment vertical="center" wrapText="1"/>
    </xf>
    <xf numFmtId="0" fontId="2" fillId="3" borderId="14" xfId="0" applyFont="1" applyFill="1" applyBorder="1" applyAlignment="1" applyProtection="1">
      <alignment horizontal="left" vertical="center" wrapText="1"/>
      <protection locked="0"/>
    </xf>
    <xf numFmtId="0" fontId="5" fillId="3" borderId="14" xfId="0" applyFont="1" applyFill="1" applyBorder="1" applyAlignment="1" applyProtection="1">
      <alignment vertical="center" wrapText="1"/>
      <protection locked="0"/>
    </xf>
    <xf numFmtId="0" fontId="5" fillId="3" borderId="14" xfId="0" applyFont="1" applyFill="1" applyBorder="1" applyAlignment="1" applyProtection="1">
      <alignment horizontal="right" vertical="center" wrapText="1"/>
      <protection locked="0"/>
    </xf>
    <xf numFmtId="3" fontId="5" fillId="3" borderId="14" xfId="0" applyNumberFormat="1" applyFont="1" applyFill="1" applyBorder="1" applyAlignment="1" applyProtection="1">
      <alignment vertical="center" wrapText="1"/>
      <protection locked="0"/>
    </xf>
    <xf numFmtId="3" fontId="5" fillId="3" borderId="13" xfId="0" applyNumberFormat="1" applyFont="1" applyFill="1" applyBorder="1" applyAlignment="1" applyProtection="1">
      <alignment vertical="center" wrapText="1"/>
      <protection locked="0"/>
    </xf>
    <xf numFmtId="0" fontId="14" fillId="6" borderId="9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top" wrapText="1"/>
    </xf>
    <xf numFmtId="0" fontId="13" fillId="6" borderId="13" xfId="0" applyFont="1" applyFill="1" applyBorder="1" applyAlignment="1">
      <alignment horizontal="center" vertical="top" wrapText="1"/>
    </xf>
    <xf numFmtId="0" fontId="3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right" vertical="center" wrapText="1"/>
    </xf>
    <xf numFmtId="3" fontId="5" fillId="0" borderId="22" xfId="0" applyNumberFormat="1" applyFont="1" applyBorder="1" applyAlignment="1" applyProtection="1">
      <alignment vertical="center" wrapText="1"/>
      <protection locked="0"/>
    </xf>
    <xf numFmtId="165" fontId="5" fillId="0" borderId="23" xfId="0" applyNumberFormat="1" applyFont="1" applyBorder="1" applyAlignment="1" applyProtection="1">
      <alignment vertical="center" wrapText="1"/>
      <protection locked="0"/>
    </xf>
    <xf numFmtId="0" fontId="7" fillId="2" borderId="1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3" fontId="6" fillId="2" borderId="19" xfId="0" applyNumberFormat="1" applyFont="1" applyFill="1" applyBorder="1" applyAlignment="1">
      <alignment horizontal="right" vertical="center" wrapText="1"/>
    </xf>
    <xf numFmtId="0" fontId="0" fillId="2" borderId="24" xfId="0" applyFill="1" applyBorder="1"/>
    <xf numFmtId="164" fontId="2" fillId="2" borderId="20" xfId="0" applyNumberFormat="1" applyFont="1" applyFill="1" applyBorder="1" applyAlignment="1" applyProtection="1">
      <alignment vertical="center" wrapText="1"/>
      <protection locked="0"/>
    </xf>
    <xf numFmtId="0" fontId="17" fillId="0" borderId="25" xfId="0" applyFont="1" applyBorder="1" applyAlignment="1">
      <alignment vertical="center"/>
    </xf>
    <xf numFmtId="165" fontId="17" fillId="0" borderId="1" xfId="0" applyNumberFormat="1" applyFont="1" applyBorder="1" applyAlignment="1">
      <alignment vertical="center"/>
    </xf>
    <xf numFmtId="0" fontId="2" fillId="3" borderId="10" xfId="0" applyFont="1" applyFill="1" applyBorder="1" applyAlignment="1" applyProtection="1">
      <alignment horizontal="right" vertical="center" wrapText="1"/>
      <protection locked="0"/>
    </xf>
    <xf numFmtId="0" fontId="2" fillId="3" borderId="11" xfId="0" applyFont="1" applyFill="1" applyBorder="1" applyAlignment="1" applyProtection="1">
      <alignment horizontal="right" vertical="center" wrapText="1"/>
      <protection locked="0"/>
    </xf>
    <xf numFmtId="0" fontId="2" fillId="3" borderId="12" xfId="0" applyFont="1" applyFill="1" applyBorder="1" applyAlignment="1" applyProtection="1">
      <alignment horizontal="right" vertical="center" wrapText="1"/>
      <protection locked="0"/>
    </xf>
    <xf numFmtId="0" fontId="2" fillId="4" borderId="10" xfId="0" applyFont="1" applyFill="1" applyBorder="1" applyAlignment="1" applyProtection="1">
      <alignment horizontal="right" vertical="center" wrapText="1"/>
      <protection locked="0"/>
    </xf>
    <xf numFmtId="0" fontId="2" fillId="4" borderId="11" xfId="0" applyFont="1" applyFill="1" applyBorder="1" applyAlignment="1" applyProtection="1">
      <alignment horizontal="right" vertical="center" wrapText="1"/>
      <protection locked="0"/>
    </xf>
    <xf numFmtId="0" fontId="2" fillId="4" borderId="12" xfId="0" applyFont="1" applyFill="1" applyBorder="1" applyAlignment="1" applyProtection="1">
      <alignment horizontal="right" vertical="center" wrapText="1"/>
      <protection locked="0"/>
    </xf>
    <xf numFmtId="0" fontId="8" fillId="5" borderId="0" xfId="0" applyFont="1" applyFill="1" applyAlignment="1">
      <alignment horizontal="left"/>
    </xf>
    <xf numFmtId="0" fontId="12" fillId="5" borderId="0" xfId="0" applyFont="1" applyFill="1" applyAlignment="1">
      <alignment horizontal="left" vertical="center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</cellXfs>
  <cellStyles count="2">
    <cellStyle name="Normální" xfId="0" builtinId="0"/>
    <cellStyle name="Normální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349287</xdr:colOff>
      <xdr:row>0</xdr:row>
      <xdr:rowOff>1</xdr:rowOff>
    </xdr:from>
    <xdr:to>
      <xdr:col>2</xdr:col>
      <xdr:colOff>1411941</xdr:colOff>
      <xdr:row>3</xdr:row>
      <xdr:rowOff>130319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B46F648-1679-447A-AE16-3E0956087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87" y="1"/>
          <a:ext cx="2687507" cy="1407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9C1A-F322-40CC-939F-5B5AAA3EF7F4}">
  <sheetPr>
    <pageSetUpPr fitToPage="1"/>
  </sheetPr>
  <dimension ref="B1:XEO59"/>
  <sheetViews>
    <sheetView tabSelected="1" zoomScale="85" zoomScaleNormal="85" workbookViewId="0">
      <selection activeCell="L6" sqref="L6"/>
    </sheetView>
  </sheetViews>
  <sheetFormatPr defaultColWidth="8.77734375" defaultRowHeight="14.4" x14ac:dyDescent="0.3"/>
  <cols>
    <col min="1" max="1" width="13.21875" customWidth="1"/>
    <col min="2" max="2" width="10.44140625" customWidth="1"/>
    <col min="3" max="3" width="70.21875" customWidth="1"/>
    <col min="4" max="4" width="6.77734375" customWidth="1"/>
    <col min="5" max="5" width="10.5546875" style="1" customWidth="1"/>
    <col min="6" max="6" width="15.6640625" customWidth="1"/>
    <col min="7" max="7" width="18.6640625" customWidth="1"/>
    <col min="8" max="8" width="4.44140625" customWidth="1"/>
  </cols>
  <sheetData>
    <row r="1" spans="2:7" ht="31.2" customHeight="1" x14ac:dyDescent="0.3">
      <c r="B1" s="77" t="s">
        <v>52</v>
      </c>
      <c r="C1" s="77"/>
      <c r="D1" s="77"/>
      <c r="E1" s="77"/>
      <c r="F1" s="78" t="s">
        <v>53</v>
      </c>
      <c r="G1" s="78"/>
    </row>
    <row r="2" spans="2:7" ht="36" customHeight="1" x14ac:dyDescent="0.3">
      <c r="B2" s="77"/>
      <c r="C2" s="77"/>
      <c r="D2" s="77"/>
      <c r="E2" s="77"/>
      <c r="F2" s="78" t="s">
        <v>54</v>
      </c>
      <c r="G2" s="78"/>
    </row>
    <row r="3" spans="2:7" ht="31.2" customHeight="1" x14ac:dyDescent="0.4">
      <c r="B3" s="76" t="s">
        <v>55</v>
      </c>
      <c r="C3" s="76"/>
      <c r="D3" s="76"/>
      <c r="E3" s="76"/>
      <c r="F3" s="26"/>
      <c r="G3" s="26"/>
    </row>
    <row r="4" spans="2:7" ht="25.8" customHeight="1" x14ac:dyDescent="0.35">
      <c r="B4" s="75" t="s">
        <v>11</v>
      </c>
      <c r="C4" s="75"/>
      <c r="D4" s="75" t="s">
        <v>19</v>
      </c>
      <c r="E4" s="75"/>
      <c r="F4" s="75"/>
      <c r="G4" s="75"/>
    </row>
    <row r="5" spans="2:7" ht="21.6" customHeight="1" x14ac:dyDescent="0.3">
      <c r="B5" s="80" t="s">
        <v>12</v>
      </c>
      <c r="C5" s="80"/>
      <c r="D5" s="73"/>
      <c r="E5" s="73"/>
      <c r="F5" s="73"/>
      <c r="G5" s="23"/>
    </row>
    <row r="6" spans="2:7" ht="22.2" customHeight="1" x14ac:dyDescent="0.3">
      <c r="B6" s="81" t="s">
        <v>13</v>
      </c>
      <c r="C6" s="81"/>
      <c r="D6" s="74"/>
      <c r="E6" s="74"/>
      <c r="F6" s="74"/>
      <c r="G6" s="23"/>
    </row>
    <row r="7" spans="2:7" ht="22.2" customHeight="1" x14ac:dyDescent="0.3">
      <c r="B7" s="81" t="s">
        <v>14</v>
      </c>
      <c r="C7" s="81"/>
      <c r="D7" s="74"/>
      <c r="E7" s="74"/>
      <c r="F7" s="74"/>
      <c r="G7" s="74"/>
    </row>
    <row r="8" spans="2:7" ht="21.6" customHeight="1" x14ac:dyDescent="0.3">
      <c r="B8" s="81" t="s">
        <v>15</v>
      </c>
      <c r="C8" s="81"/>
      <c r="D8" s="74"/>
      <c r="E8" s="74"/>
      <c r="F8" s="74"/>
      <c r="G8" s="74"/>
    </row>
    <row r="9" spans="2:7" ht="17.399999999999999" customHeight="1" x14ac:dyDescent="0.35">
      <c r="B9" s="75"/>
      <c r="C9" s="75"/>
      <c r="D9" s="75" t="s">
        <v>16</v>
      </c>
      <c r="E9" s="75"/>
      <c r="F9" s="23"/>
      <c r="G9" s="23"/>
    </row>
    <row r="10" spans="2:7" ht="14.4" customHeight="1" x14ac:dyDescent="0.35">
      <c r="B10" s="79"/>
      <c r="C10" s="79"/>
      <c r="D10" s="79" t="s">
        <v>39</v>
      </c>
      <c r="E10" s="79"/>
      <c r="F10" s="25"/>
      <c r="G10" s="25"/>
    </row>
    <row r="11" spans="2:7" ht="10.199999999999999" customHeight="1" thickBot="1" x14ac:dyDescent="0.4">
      <c r="B11" s="24"/>
      <c r="E11"/>
    </row>
    <row r="12" spans="2:7" ht="33.6" customHeight="1" thickBot="1" x14ac:dyDescent="0.35">
      <c r="B12" s="50" t="s">
        <v>18</v>
      </c>
      <c r="C12" s="51" t="s">
        <v>0</v>
      </c>
      <c r="D12" s="51" t="s">
        <v>3</v>
      </c>
      <c r="E12" s="51" t="s">
        <v>8</v>
      </c>
      <c r="F12" s="51" t="s">
        <v>17</v>
      </c>
      <c r="G12" s="52" t="s">
        <v>24</v>
      </c>
    </row>
    <row r="13" spans="2:7" ht="20.399999999999999" customHeight="1" thickBot="1" x14ac:dyDescent="0.35">
      <c r="B13" s="44"/>
      <c r="C13" s="45" t="s">
        <v>7</v>
      </c>
      <c r="D13" s="46"/>
      <c r="E13" s="47"/>
      <c r="F13" s="48"/>
      <c r="G13" s="49"/>
    </row>
    <row r="14" spans="2:7" ht="21" customHeight="1" x14ac:dyDescent="0.3">
      <c r="B14" s="31">
        <v>1</v>
      </c>
      <c r="C14" s="29" t="s">
        <v>23</v>
      </c>
      <c r="D14" s="34" t="s">
        <v>4</v>
      </c>
      <c r="E14" s="38">
        <v>3</v>
      </c>
      <c r="F14" s="41">
        <v>425</v>
      </c>
      <c r="G14" s="42">
        <f t="shared" ref="G14:G15" si="0">E14*F14</f>
        <v>1275</v>
      </c>
    </row>
    <row r="15" spans="2:7" ht="21" customHeight="1" x14ac:dyDescent="0.3">
      <c r="B15" s="31">
        <v>2</v>
      </c>
      <c r="C15" s="29" t="s">
        <v>40</v>
      </c>
      <c r="D15" s="34" t="s">
        <v>4</v>
      </c>
      <c r="E15" s="38">
        <v>1</v>
      </c>
      <c r="F15" s="41">
        <v>480</v>
      </c>
      <c r="G15" s="42">
        <f t="shared" si="0"/>
        <v>480</v>
      </c>
    </row>
    <row r="16" spans="2:7" ht="21" customHeight="1" x14ac:dyDescent="0.3">
      <c r="B16" s="31">
        <v>3</v>
      </c>
      <c r="C16" s="29" t="s">
        <v>21</v>
      </c>
      <c r="D16" s="34" t="s">
        <v>4</v>
      </c>
      <c r="E16" s="38">
        <v>1</v>
      </c>
      <c r="F16" s="41">
        <v>1920</v>
      </c>
      <c r="G16" s="37">
        <f t="shared" ref="G16:G17" si="1">E16*F16</f>
        <v>1920</v>
      </c>
    </row>
    <row r="17" spans="2:7 16369:16369" ht="21" customHeight="1" x14ac:dyDescent="0.3">
      <c r="B17" s="31">
        <v>4</v>
      </c>
      <c r="C17" s="29" t="s">
        <v>27</v>
      </c>
      <c r="D17" s="34" t="s">
        <v>4</v>
      </c>
      <c r="E17" s="38">
        <v>2</v>
      </c>
      <c r="F17" s="41">
        <v>550</v>
      </c>
      <c r="G17" s="37">
        <f t="shared" si="1"/>
        <v>1100</v>
      </c>
    </row>
    <row r="18" spans="2:7 16369:16369" ht="21" customHeight="1" x14ac:dyDescent="0.3">
      <c r="B18" s="31">
        <v>5</v>
      </c>
      <c r="C18" s="29" t="s">
        <v>22</v>
      </c>
      <c r="D18" s="34" t="s">
        <v>4</v>
      </c>
      <c r="E18" s="38">
        <v>1</v>
      </c>
      <c r="F18" s="41">
        <v>420</v>
      </c>
      <c r="G18" s="37">
        <f t="shared" ref="G18:G21" si="2">E18*F18</f>
        <v>420</v>
      </c>
    </row>
    <row r="19" spans="2:7 16369:16369" ht="21" customHeight="1" x14ac:dyDescent="0.3">
      <c r="B19" s="31">
        <v>6</v>
      </c>
      <c r="C19" s="29" t="s">
        <v>41</v>
      </c>
      <c r="D19" s="34" t="s">
        <v>4</v>
      </c>
      <c r="E19" s="38">
        <v>2</v>
      </c>
      <c r="F19" s="41">
        <v>480</v>
      </c>
      <c r="G19" s="37">
        <f t="shared" si="2"/>
        <v>960</v>
      </c>
    </row>
    <row r="20" spans="2:7 16369:16369" ht="21" customHeight="1" x14ac:dyDescent="0.3">
      <c r="B20" s="31">
        <v>7</v>
      </c>
      <c r="C20" s="29" t="s">
        <v>42</v>
      </c>
      <c r="D20" s="34" t="s">
        <v>4</v>
      </c>
      <c r="E20" s="38">
        <v>1</v>
      </c>
      <c r="F20" s="41">
        <v>480</v>
      </c>
      <c r="G20" s="37">
        <f t="shared" si="2"/>
        <v>480</v>
      </c>
    </row>
    <row r="21" spans="2:7 16369:16369" ht="21" customHeight="1" x14ac:dyDescent="0.3">
      <c r="B21" s="31">
        <v>8</v>
      </c>
      <c r="C21" s="29" t="s">
        <v>43</v>
      </c>
      <c r="D21" s="34" t="s">
        <v>4</v>
      </c>
      <c r="E21" s="38">
        <v>2</v>
      </c>
      <c r="F21" s="41">
        <v>530</v>
      </c>
      <c r="G21" s="37">
        <f t="shared" si="2"/>
        <v>1060</v>
      </c>
    </row>
    <row r="22" spans="2:7 16369:16369" ht="21" customHeight="1" x14ac:dyDescent="0.3">
      <c r="B22" s="31">
        <v>9</v>
      </c>
      <c r="C22" s="33" t="s">
        <v>25</v>
      </c>
      <c r="D22" s="34" t="s">
        <v>4</v>
      </c>
      <c r="E22" s="38">
        <v>2</v>
      </c>
      <c r="F22" s="41">
        <v>550</v>
      </c>
      <c r="G22" s="42">
        <f t="shared" ref="G22" si="3">E22*F22</f>
        <v>1100</v>
      </c>
    </row>
    <row r="23" spans="2:7 16369:16369" ht="20.399999999999999" customHeight="1" x14ac:dyDescent="0.3">
      <c r="B23" s="31">
        <v>10</v>
      </c>
      <c r="C23" s="33" t="s">
        <v>28</v>
      </c>
      <c r="D23" s="34" t="s">
        <v>4</v>
      </c>
      <c r="E23" s="38">
        <v>1</v>
      </c>
      <c r="F23" s="41">
        <v>550</v>
      </c>
      <c r="G23" s="42">
        <f t="shared" ref="G23" si="4">E23*F23</f>
        <v>550</v>
      </c>
    </row>
    <row r="24" spans="2:7 16369:16369" ht="20.399999999999999" customHeight="1" x14ac:dyDescent="0.3">
      <c r="B24" s="31">
        <v>11</v>
      </c>
      <c r="C24" s="33" t="s">
        <v>31</v>
      </c>
      <c r="D24" s="34" t="s">
        <v>4</v>
      </c>
      <c r="E24" s="38">
        <v>1</v>
      </c>
      <c r="F24" s="41">
        <v>250</v>
      </c>
      <c r="G24" s="42">
        <f t="shared" ref="G24:G27" si="5">E24*F24</f>
        <v>250</v>
      </c>
    </row>
    <row r="25" spans="2:7 16369:16369" ht="20.399999999999999" customHeight="1" x14ac:dyDescent="0.3">
      <c r="B25" s="31">
        <v>12</v>
      </c>
      <c r="C25" s="33" t="s">
        <v>33</v>
      </c>
      <c r="D25" s="34" t="s">
        <v>4</v>
      </c>
      <c r="E25" s="35">
        <v>1</v>
      </c>
      <c r="F25" s="36">
        <v>380</v>
      </c>
      <c r="G25" s="37">
        <f t="shared" si="5"/>
        <v>380</v>
      </c>
      <c r="XEO25" s="2">
        <f>SUM(H25:XEN25)</f>
        <v>0</v>
      </c>
    </row>
    <row r="26" spans="2:7 16369:16369" ht="20.399999999999999" customHeight="1" x14ac:dyDescent="0.3">
      <c r="B26" s="31">
        <v>13</v>
      </c>
      <c r="C26" s="29" t="s">
        <v>44</v>
      </c>
      <c r="D26" s="34" t="s">
        <v>4</v>
      </c>
      <c r="E26" s="38">
        <v>1</v>
      </c>
      <c r="F26" s="41">
        <v>95</v>
      </c>
      <c r="G26" s="37">
        <f t="shared" si="5"/>
        <v>95</v>
      </c>
    </row>
    <row r="27" spans="2:7 16369:16369" ht="20.399999999999999" customHeight="1" x14ac:dyDescent="0.3">
      <c r="B27" s="31">
        <v>14</v>
      </c>
      <c r="C27" s="29" t="s">
        <v>50</v>
      </c>
      <c r="D27" s="34" t="s">
        <v>4</v>
      </c>
      <c r="E27" s="38">
        <v>1</v>
      </c>
      <c r="F27" s="41">
        <v>525</v>
      </c>
      <c r="G27" s="37">
        <f t="shared" si="5"/>
        <v>525</v>
      </c>
    </row>
    <row r="28" spans="2:7 16369:16369" ht="30" customHeight="1" thickBot="1" x14ac:dyDescent="0.35">
      <c r="B28" s="31">
        <v>15</v>
      </c>
      <c r="C28" s="33" t="s">
        <v>49</v>
      </c>
      <c r="D28" s="34" t="s">
        <v>5</v>
      </c>
      <c r="E28" s="35">
        <v>1</v>
      </c>
      <c r="F28" s="36">
        <v>1070</v>
      </c>
      <c r="G28" s="37">
        <f t="shared" ref="G28" si="6">E28*F28</f>
        <v>1070</v>
      </c>
    </row>
    <row r="29" spans="2:7 16369:16369" ht="20.399999999999999" customHeight="1" thickBot="1" x14ac:dyDescent="0.35">
      <c r="B29" s="16"/>
      <c r="C29" s="67" t="s">
        <v>10</v>
      </c>
      <c r="D29" s="68"/>
      <c r="E29" s="68"/>
      <c r="F29" s="69"/>
      <c r="G29" s="21">
        <f>SUM(G14:G28)</f>
        <v>11665</v>
      </c>
    </row>
    <row r="30" spans="2:7 16369:16369" ht="20.399999999999999" customHeight="1" thickBot="1" x14ac:dyDescent="0.35">
      <c r="B30" s="19"/>
      <c r="C30" s="18"/>
      <c r="D30" s="18"/>
      <c r="E30" s="18"/>
      <c r="F30" s="18"/>
      <c r="G30" s="20"/>
    </row>
    <row r="31" spans="2:7 16369:16369" ht="20.399999999999999" customHeight="1" thickBot="1" x14ac:dyDescent="0.35">
      <c r="B31" s="3"/>
      <c r="C31" s="4" t="s">
        <v>9</v>
      </c>
      <c r="D31" s="5"/>
      <c r="E31" s="6"/>
      <c r="F31" s="7"/>
      <c r="G31" s="8"/>
    </row>
    <row r="32" spans="2:7 16369:16369" ht="20.399999999999999" customHeight="1" x14ac:dyDescent="0.3">
      <c r="B32" s="32">
        <v>1</v>
      </c>
      <c r="C32" s="43" t="s">
        <v>34</v>
      </c>
      <c r="D32" s="27" t="s">
        <v>4</v>
      </c>
      <c r="E32" s="38">
        <v>3</v>
      </c>
      <c r="F32" s="28">
        <v>1281.25</v>
      </c>
      <c r="G32" s="37">
        <f t="shared" ref="G32:G38" si="7">E32*F32</f>
        <v>3843.75</v>
      </c>
    </row>
    <row r="33" spans="2:7" ht="20.399999999999999" customHeight="1" x14ac:dyDescent="0.3">
      <c r="B33" s="31">
        <v>2</v>
      </c>
      <c r="C33" s="29" t="s">
        <v>35</v>
      </c>
      <c r="D33" s="27" t="s">
        <v>4</v>
      </c>
      <c r="E33" s="38">
        <v>1</v>
      </c>
      <c r="F33" s="28">
        <v>2658.75</v>
      </c>
      <c r="G33" s="37">
        <f t="shared" si="7"/>
        <v>2658.75</v>
      </c>
    </row>
    <row r="34" spans="2:7" ht="20.399999999999999" customHeight="1" x14ac:dyDescent="0.3">
      <c r="B34" s="32">
        <v>3</v>
      </c>
      <c r="C34" s="29" t="s">
        <v>20</v>
      </c>
      <c r="D34" s="27" t="s">
        <v>4</v>
      </c>
      <c r="E34" s="38">
        <v>1</v>
      </c>
      <c r="F34" s="28">
        <v>10346.25</v>
      </c>
      <c r="G34" s="37">
        <f t="shared" si="7"/>
        <v>10346.25</v>
      </c>
    </row>
    <row r="35" spans="2:7" ht="20.399999999999999" customHeight="1" x14ac:dyDescent="0.3">
      <c r="B35" s="31">
        <v>4</v>
      </c>
      <c r="C35" s="29" t="s">
        <v>26</v>
      </c>
      <c r="D35" s="27" t="s">
        <v>4</v>
      </c>
      <c r="E35" s="38">
        <v>2</v>
      </c>
      <c r="F35" s="28">
        <v>3901.25</v>
      </c>
      <c r="G35" s="37">
        <f t="shared" ref="G35" si="8">E35*F35</f>
        <v>7802.5</v>
      </c>
    </row>
    <row r="36" spans="2:7" ht="20.399999999999999" customHeight="1" x14ac:dyDescent="0.3">
      <c r="B36" s="32">
        <v>5</v>
      </c>
      <c r="C36" s="29" t="s">
        <v>36</v>
      </c>
      <c r="D36" s="27" t="s">
        <v>4</v>
      </c>
      <c r="E36" s="38">
        <v>1</v>
      </c>
      <c r="F36" s="28">
        <v>1872.5</v>
      </c>
      <c r="G36" s="37">
        <f t="shared" si="7"/>
        <v>1872.5</v>
      </c>
    </row>
    <row r="37" spans="2:7" ht="20.399999999999999" customHeight="1" x14ac:dyDescent="0.3">
      <c r="B37" s="31">
        <v>6</v>
      </c>
      <c r="C37" s="29" t="s">
        <v>46</v>
      </c>
      <c r="D37" s="27" t="s">
        <v>4</v>
      </c>
      <c r="E37" s="38">
        <v>2</v>
      </c>
      <c r="F37" s="66">
        <v>1921</v>
      </c>
      <c r="G37" s="37">
        <f t="shared" si="7"/>
        <v>3842</v>
      </c>
    </row>
    <row r="38" spans="2:7" ht="20.399999999999999" customHeight="1" x14ac:dyDescent="0.3">
      <c r="B38" s="32">
        <v>7</v>
      </c>
      <c r="C38" s="29" t="s">
        <v>45</v>
      </c>
      <c r="D38" s="27" t="s">
        <v>4</v>
      </c>
      <c r="E38" s="38">
        <v>2</v>
      </c>
      <c r="F38" s="66">
        <v>3621</v>
      </c>
      <c r="G38" s="37">
        <f t="shared" si="7"/>
        <v>7242</v>
      </c>
    </row>
    <row r="39" spans="2:7" ht="20.399999999999999" customHeight="1" x14ac:dyDescent="0.3">
      <c r="B39" s="31">
        <v>8</v>
      </c>
      <c r="C39" s="29" t="s">
        <v>37</v>
      </c>
      <c r="D39" s="27" t="s">
        <v>4</v>
      </c>
      <c r="E39" s="38">
        <v>6</v>
      </c>
      <c r="F39" s="28">
        <v>788.75</v>
      </c>
      <c r="G39" s="37">
        <f t="shared" ref="G39:G46" si="9">E39*F39</f>
        <v>4732.5</v>
      </c>
    </row>
    <row r="40" spans="2:7" ht="20.399999999999999" customHeight="1" x14ac:dyDescent="0.3">
      <c r="B40" s="32">
        <v>9</v>
      </c>
      <c r="C40" s="65" t="s">
        <v>29</v>
      </c>
      <c r="D40" s="27" t="s">
        <v>4</v>
      </c>
      <c r="E40" s="38">
        <v>1</v>
      </c>
      <c r="F40" s="28">
        <v>4601.25</v>
      </c>
      <c r="G40" s="37">
        <f t="shared" si="9"/>
        <v>4601.25</v>
      </c>
    </row>
    <row r="41" spans="2:7" ht="20.399999999999999" customHeight="1" x14ac:dyDescent="0.3">
      <c r="B41" s="31">
        <v>10</v>
      </c>
      <c r="C41" s="65" t="s">
        <v>30</v>
      </c>
      <c r="D41" s="27" t="s">
        <v>4</v>
      </c>
      <c r="E41" s="38">
        <v>1</v>
      </c>
      <c r="F41" s="28">
        <v>1750</v>
      </c>
      <c r="G41" s="37">
        <f t="shared" ref="G41" si="10">E41*F41</f>
        <v>1750</v>
      </c>
    </row>
    <row r="42" spans="2:7" ht="20.399999999999999" customHeight="1" x14ac:dyDescent="0.3">
      <c r="B42" s="32">
        <v>11</v>
      </c>
      <c r="C42" s="65" t="s">
        <v>32</v>
      </c>
      <c r="D42" s="27" t="s">
        <v>4</v>
      </c>
      <c r="E42" s="38">
        <v>1</v>
      </c>
      <c r="F42" s="28">
        <v>198</v>
      </c>
      <c r="G42" s="37">
        <f t="shared" ref="G42:G43" si="11">E42*F42</f>
        <v>198</v>
      </c>
    </row>
    <row r="43" spans="2:7" ht="20.399999999999999" customHeight="1" x14ac:dyDescent="0.3">
      <c r="B43" s="31">
        <v>12</v>
      </c>
      <c r="C43" s="29" t="s">
        <v>51</v>
      </c>
      <c r="D43" s="27" t="s">
        <v>4</v>
      </c>
      <c r="E43" s="38">
        <v>1</v>
      </c>
      <c r="F43" s="28">
        <v>2070</v>
      </c>
      <c r="G43" s="37">
        <f t="shared" si="11"/>
        <v>2070</v>
      </c>
    </row>
    <row r="44" spans="2:7" ht="20.399999999999999" customHeight="1" x14ac:dyDescent="0.3">
      <c r="B44" s="32">
        <v>13</v>
      </c>
      <c r="C44" s="30" t="s">
        <v>38</v>
      </c>
      <c r="D44" s="27" t="s">
        <v>4</v>
      </c>
      <c r="E44" s="38">
        <v>2</v>
      </c>
      <c r="F44" s="28">
        <v>5172.5</v>
      </c>
      <c r="G44" s="37">
        <f t="shared" si="9"/>
        <v>10345</v>
      </c>
    </row>
    <row r="45" spans="2:7" ht="20.399999999999999" customHeight="1" x14ac:dyDescent="0.3">
      <c r="B45" s="31">
        <v>14</v>
      </c>
      <c r="C45" s="33" t="s">
        <v>47</v>
      </c>
      <c r="D45" s="34" t="s">
        <v>5</v>
      </c>
      <c r="E45" s="35">
        <v>1</v>
      </c>
      <c r="F45" s="36">
        <v>470</v>
      </c>
      <c r="G45" s="37">
        <f t="shared" si="9"/>
        <v>470</v>
      </c>
    </row>
    <row r="46" spans="2:7" ht="20.399999999999999" customHeight="1" thickBot="1" x14ac:dyDescent="0.35">
      <c r="B46" s="32">
        <v>15</v>
      </c>
      <c r="C46" s="33" t="s">
        <v>48</v>
      </c>
      <c r="D46" s="34" t="s">
        <v>5</v>
      </c>
      <c r="E46" s="35">
        <v>1</v>
      </c>
      <c r="F46" s="36">
        <v>550</v>
      </c>
      <c r="G46" s="37">
        <f t="shared" si="9"/>
        <v>550</v>
      </c>
    </row>
    <row r="47" spans="2:7" ht="20.399999999999999" customHeight="1" thickBot="1" x14ac:dyDescent="0.35">
      <c r="B47" s="3"/>
      <c r="C47" s="70" t="s">
        <v>10</v>
      </c>
      <c r="D47" s="71"/>
      <c r="E47" s="71"/>
      <c r="F47" s="72"/>
      <c r="G47" s="22">
        <f>SUM(G32:G44)</f>
        <v>61304.5</v>
      </c>
    </row>
    <row r="48" spans="2:7" ht="20.399999999999999" customHeight="1" thickBot="1" x14ac:dyDescent="0.35">
      <c r="B48" s="53"/>
      <c r="C48" s="54"/>
      <c r="D48" s="55"/>
      <c r="E48" s="56"/>
      <c r="F48" s="57"/>
      <c r="G48" s="58"/>
    </row>
    <row r="49" spans="2:7" ht="20.399999999999999" customHeight="1" x14ac:dyDescent="0.3">
      <c r="B49" s="59"/>
      <c r="C49" s="60" t="s">
        <v>1</v>
      </c>
      <c r="D49" s="61"/>
      <c r="E49" s="62"/>
      <c r="F49" s="63"/>
      <c r="G49" s="64">
        <f>G29+G47</f>
        <v>72969.5</v>
      </c>
    </row>
    <row r="50" spans="2:7" ht="20.399999999999999" customHeight="1" x14ac:dyDescent="0.3">
      <c r="B50" s="15"/>
      <c r="C50" s="9" t="s">
        <v>6</v>
      </c>
      <c r="D50" s="9"/>
      <c r="E50" s="10"/>
      <c r="F50" s="11"/>
      <c r="G50" s="39">
        <f>G49*0.21</f>
        <v>15323.594999999999</v>
      </c>
    </row>
    <row r="51" spans="2:7" ht="20.399999999999999" customHeight="1" thickBot="1" x14ac:dyDescent="0.35">
      <c r="B51" s="17"/>
      <c r="C51" s="12" t="s">
        <v>2</v>
      </c>
      <c r="D51" s="12"/>
      <c r="E51" s="13"/>
      <c r="F51" s="14"/>
      <c r="G51" s="40">
        <f>SUM(G49:G50)</f>
        <v>88293.095000000001</v>
      </c>
    </row>
    <row r="52" spans="2:7" x14ac:dyDescent="0.3">
      <c r="C52" s="1"/>
      <c r="E52"/>
    </row>
    <row r="53" spans="2:7" x14ac:dyDescent="0.3">
      <c r="D53" s="1"/>
      <c r="E53"/>
      <c r="F53" s="2"/>
    </row>
    <row r="54" spans="2:7" x14ac:dyDescent="0.3">
      <c r="D54" s="1"/>
      <c r="E54"/>
      <c r="F54" s="2"/>
    </row>
    <row r="55" spans="2:7" x14ac:dyDescent="0.3">
      <c r="D55" s="1"/>
      <c r="E55"/>
    </row>
    <row r="56" spans="2:7" x14ac:dyDescent="0.3">
      <c r="D56" s="1"/>
      <c r="E56"/>
    </row>
    <row r="57" spans="2:7" x14ac:dyDescent="0.3">
      <c r="D57" s="1"/>
      <c r="E57"/>
    </row>
    <row r="58" spans="2:7" x14ac:dyDescent="0.3">
      <c r="D58" s="1"/>
      <c r="E58"/>
    </row>
    <row r="59" spans="2:7" x14ac:dyDescent="0.3">
      <c r="G59" s="2"/>
    </row>
  </sheetData>
  <mergeCells count="20">
    <mergeCell ref="B3:E3"/>
    <mergeCell ref="B1:E2"/>
    <mergeCell ref="F1:G1"/>
    <mergeCell ref="F2:G2"/>
    <mergeCell ref="B10:C10"/>
    <mergeCell ref="D4:G4"/>
    <mergeCell ref="B5:C5"/>
    <mergeCell ref="B6:C6"/>
    <mergeCell ref="B7:C7"/>
    <mergeCell ref="B8:C8"/>
    <mergeCell ref="B4:C4"/>
    <mergeCell ref="D9:E9"/>
    <mergeCell ref="D10:E10"/>
    <mergeCell ref="C29:F29"/>
    <mergeCell ref="C47:F47"/>
    <mergeCell ref="D5:F5"/>
    <mergeCell ref="D6:F6"/>
    <mergeCell ref="D7:G7"/>
    <mergeCell ref="D8:G8"/>
    <mergeCell ref="B9:C9"/>
  </mergeCells>
  <pageMargins left="0.25" right="0.25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Montáž zabezpečovací systém</vt:lpstr>
      <vt:lpstr>'Montáž zabezpečovací systém'!Oblast_tisku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2024-02-22T09:42:40Z</dcterms:created>
  <dcterms:modified xsi:type="dcterms:W3CDTF">2026-03-03T19:01:19Z</dcterms:modified>
  <cp:category/>
  <cp:contentStatus/>
</cp:coreProperties>
</file>