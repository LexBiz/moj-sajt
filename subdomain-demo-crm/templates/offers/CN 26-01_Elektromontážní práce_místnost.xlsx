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1244" documentId="8_{94EA81AA-A821-4279-BD9C-CBBB5D0241BD}" xr6:coauthVersionLast="47" xr6:coauthVersionMax="47" xr10:uidLastSave="{B31FB336-1AC8-4293-BABF-4C77FA52DD9E}"/>
  <bookViews>
    <workbookView xWindow="-108" yWindow="-108" windowWidth="23256" windowHeight="13896" xr2:uid="{00000000-000D-0000-FFFF-FFFF00000000}"/>
  </bookViews>
  <sheets>
    <sheet name="Elektroinstalace" sheetId="6" r:id="rId1"/>
  </sheets>
  <definedNames>
    <definedName name="_xlnm.Print_Area" localSheetId="0">Elektroinstalace!$A$1:$H$87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6" l="1"/>
  <c r="G59" i="6"/>
  <c r="G51" i="6"/>
  <c r="G50" i="6"/>
  <c r="G79" i="6"/>
  <c r="G78" i="6"/>
  <c r="G57" i="6"/>
  <c r="G64" i="6"/>
  <c r="G65" i="6"/>
  <c r="G62" i="6"/>
  <c r="G53" i="6"/>
  <c r="G25" i="6"/>
  <c r="G29" i="6"/>
  <c r="G43" i="6"/>
  <c r="G60" i="6"/>
  <c r="G30" i="6" l="1"/>
  <c r="G31" i="6"/>
  <c r="G21" i="6"/>
  <c r="G38" i="6"/>
  <c r="G24" i="6" l="1"/>
  <c r="G20" i="6"/>
  <c r="G19" i="6"/>
  <c r="G18" i="6" l="1"/>
  <c r="G34" i="6" l="1"/>
  <c r="G35" i="6" l="1"/>
  <c r="G16" i="6"/>
  <c r="G27" i="6" l="1"/>
  <c r="G49" i="6"/>
  <c r="G70" i="6"/>
  <c r="G80" i="6"/>
  <c r="G77" i="6"/>
  <c r="G76" i="6"/>
  <c r="G75" i="6"/>
  <c r="G61" i="6"/>
  <c r="G52" i="6"/>
  <c r="G32" i="6"/>
  <c r="G81" i="6" l="1"/>
  <c r="G63" i="6" l="1"/>
  <c r="G54" i="6"/>
  <c r="G56" i="6"/>
  <c r="G55" i="6"/>
  <c r="G37" i="6"/>
  <c r="G66" i="6" l="1"/>
  <c r="G42" i="6"/>
  <c r="G41" i="6"/>
  <c r="G26" i="6" l="1"/>
  <c r="G23" i="6"/>
  <c r="G69" i="6" l="1"/>
  <c r="G15" i="6" l="1"/>
  <c r="G17" i="6"/>
  <c r="G22" i="6"/>
  <c r="G28" i="6"/>
  <c r="G33" i="6"/>
  <c r="G68" i="6" l="1"/>
  <c r="G67" i="6"/>
  <c r="G48" i="6"/>
  <c r="G71" i="6"/>
  <c r="G47" i="6"/>
  <c r="G72" i="6" l="1"/>
  <c r="G39" i="6" l="1"/>
  <c r="G40" i="6"/>
  <c r="G36" i="6"/>
  <c r="G44" i="6" l="1"/>
  <c r="G83" i="6" s="1"/>
  <c r="G84" i="6" l="1"/>
  <c r="G85" i="6" s="1"/>
</calcChain>
</file>

<file path=xl/sharedStrings.xml><?xml version="1.0" encoding="utf-8"?>
<sst xmlns="http://schemas.openxmlformats.org/spreadsheetml/2006/main" count="146" uniqueCount="87">
  <si>
    <t>Popis položky</t>
  </si>
  <si>
    <t>CELKOVÁ CENA BEZ DPH</t>
  </si>
  <si>
    <t>CELKOVÁ CENA VČETNĚ DPH</t>
  </si>
  <si>
    <t>MJ</t>
  </si>
  <si>
    <t>ks</t>
  </si>
  <si>
    <t>m</t>
  </si>
  <si>
    <t>kpl</t>
  </si>
  <si>
    <t>Řízení zakázky a koordinační činnosti</t>
  </si>
  <si>
    <t>Doprava, logistika a manipulace materiálu</t>
  </si>
  <si>
    <t>DPH 21 %</t>
  </si>
  <si>
    <t>Práce</t>
  </si>
  <si>
    <t>Množství</t>
  </si>
  <si>
    <t xml:space="preserve">Vedlejší práce, přesun hmot </t>
  </si>
  <si>
    <t>Denní úklid staveniště, odpady</t>
  </si>
  <si>
    <t>Materiál</t>
  </si>
  <si>
    <t>Celkem</t>
  </si>
  <si>
    <t xml:space="preserve">Montáž kabelů měděných bez ukončení, uložených ve vysekaných drážkách, plných kulatých CYKY-O, počtu a průřezu žil 3x1,5 </t>
  </si>
  <si>
    <t xml:space="preserve">Montáž kabelů měděných bez ukončení, uložených ve vysekaných drážkách, plných kulatých CYKY-J, počtu a průřezu žil 3x2,5 </t>
  </si>
  <si>
    <t xml:space="preserve">Montáž krabic elektroinstalačních přístrojových plastových kruhových    Ø 68mm do zdiva bez napojení </t>
  </si>
  <si>
    <t>Dodavatel:</t>
  </si>
  <si>
    <t>O&amp;L MasterDom s.r.o.</t>
  </si>
  <si>
    <t>Moskevská 1464/61 Praha 10 - Vršovice 101 00</t>
  </si>
  <si>
    <t>Tel: +420 608 643 634</t>
  </si>
  <si>
    <t xml:space="preserve">Název objektu: </t>
  </si>
  <si>
    <t>Jednotková cena bez DPH</t>
  </si>
  <si>
    <t>Celková cena bez DPH</t>
  </si>
  <si>
    <t xml:space="preserve">Sběrnice hlavního ochranného pospojování </t>
  </si>
  <si>
    <t xml:space="preserve">Montáž sběrnice hlavního ochranného pospojování </t>
  </si>
  <si>
    <t>Číslo položky</t>
  </si>
  <si>
    <t>Vyvrtání otvorů pro elekroinstalace do Ø 50 mm</t>
  </si>
  <si>
    <t>IČO: 1732 65 83</t>
  </si>
  <si>
    <t xml:space="preserve">Montáž kabelů měděných bez ukončení, uložených ve vysekaných drážkách nebo po stěně a stropu, plných kulatých CYKY-J, počtu a průřezu žil 3x1,5 </t>
  </si>
  <si>
    <t>Montáž vypínačů dvoupólových a křížových polozapuštěných nebo zapuštěných se zapojením vodičů bezšroubové připojení, pro prostředí normální přepínač, 230V/10A</t>
  </si>
  <si>
    <t>Montáž zásuvek domovních se zapojením vodičů polozapuštěných nebo zapuštěných 16 A, provedení 2P + PE</t>
  </si>
  <si>
    <t>Montáž plastových krycích rámečků pro spínače a zásuvky</t>
  </si>
  <si>
    <t>Kabel CYKY-J 3x1,5</t>
  </si>
  <si>
    <t>Kabel CYKY-O 3x1,5</t>
  </si>
  <si>
    <t>Kabel CYKY-J 3x2,5</t>
  </si>
  <si>
    <t>LED svítidlo</t>
  </si>
  <si>
    <t>Vypínač odnopólový</t>
  </si>
  <si>
    <t>Vypínač dvoupólový</t>
  </si>
  <si>
    <t>Měření a vyhotovení revizní zprávy</t>
  </si>
  <si>
    <t>Ostatní práce</t>
  </si>
  <si>
    <t>Plastová jednonásobná krabice univerzální šedá 68-70</t>
  </si>
  <si>
    <t xml:space="preserve">Vyvrtání otvorů pro elektroinstalační krabice Ø 68mm ve stěnách </t>
  </si>
  <si>
    <t>Zapojení LED pásku</t>
  </si>
  <si>
    <t>Montáž a zapojení napájecího transformátoru LED pásku</t>
  </si>
  <si>
    <t>LED pásek včetně příslušenství</t>
  </si>
  <si>
    <t>Drobný materiál a trasovací materiál -  sadra, svorky, hmoždinky, vruty, zdrhovací pásky</t>
  </si>
  <si>
    <t>Vodič CYA 6mm2 (H07V-U)</t>
  </si>
  <si>
    <t>Montáž vodiču měděných bez ukončení CYA 6mm2 (H07V-U) zelenožlutý</t>
  </si>
  <si>
    <t xml:space="preserve">Kontrola starých rozvodů a  demontáž koncových prvků </t>
  </si>
  <si>
    <t>Rozměření, zařízení staveniště a příprava stavebního rozvaděče</t>
  </si>
  <si>
    <t>Frézování drážek pro kabely ve zdivu cihelném</t>
  </si>
  <si>
    <t>Vysekání rýh pro montáž kabelů v betonových podlahách</t>
  </si>
  <si>
    <t>Bourání podlah pro podlahové krabice</t>
  </si>
  <si>
    <t>Montáž podlahové krabice</t>
  </si>
  <si>
    <t>Montáž rozváděčů komplet včetně odizolování, popisu a připojení do svorky v rozvaděče</t>
  </si>
  <si>
    <t>Montáž kabelů měděných bez ukončení, uložených ve vysekaných drážkách, plných kulatých CYKY-J, počtu a průřezu žil 5x10</t>
  </si>
  <si>
    <t xml:space="preserve">Oceloplechový rozváděč pro nástěnnou montáž </t>
  </si>
  <si>
    <t>Kabel CYKY-J 5x10</t>
  </si>
  <si>
    <t>Montáž a zapojení datové zásuvky 2xRJ45</t>
  </si>
  <si>
    <t xml:space="preserve">Montáž vodiče HDMI </t>
  </si>
  <si>
    <t>Montáž vodiču měděných bez ukončení CYA 10 mm2 (H07V-U) zelenožlutý</t>
  </si>
  <si>
    <t>Vodič CYA 10mm2 (H07V-U)</t>
  </si>
  <si>
    <t>Montáž ochranného pospojování potrubí</t>
  </si>
  <si>
    <t>Montáž kabelů měděných bez ukončení, uložených ve vysekaných drážkách, plných kulatých CYKY-J, počtu a průřezu žil 3x4</t>
  </si>
  <si>
    <t>Kabel CYKY-J 3x4</t>
  </si>
  <si>
    <t xml:space="preserve">Zásuvka obyč.16A 250V 2P+Z </t>
  </si>
  <si>
    <t>Zásuvka obyč.16A 250V 2P+Z do podlahové krabice</t>
  </si>
  <si>
    <t>Zásuvka datová 1x RJ45 cat.6a do podlahové krabice</t>
  </si>
  <si>
    <t xml:space="preserve">Zásuvka datová 2x RJ45 cat.6a </t>
  </si>
  <si>
    <t>Ohebná elektroinstalační trubka 32 mm pro protahování datových kabelů</t>
  </si>
  <si>
    <t>Krycí rámeček a kryt spínače </t>
  </si>
  <si>
    <t>Dokumentace elektro provedení stavby</t>
  </si>
  <si>
    <t>Bezrámečkové podlahové krabice - horizontální přístrojová jednotka, 24 modulů.</t>
  </si>
  <si>
    <t>Kabel instalační datový stíněný F/UTP</t>
  </si>
  <si>
    <t xml:space="preserve">Montáž svítidel se zapojením vodičů </t>
  </si>
  <si>
    <t>Propojovací kabel HDMI 10 m.</t>
  </si>
  <si>
    <t xml:space="preserve">                                                 Elektromontážní práce</t>
  </si>
  <si>
    <t>Datum vytvoření:  24.02.2026</t>
  </si>
  <si>
    <t>Platí do:                   10.03.2026</t>
  </si>
  <si>
    <t>Montáž na stole zásuvkového bloku</t>
  </si>
  <si>
    <t>Založení trubky pro protahování datových kabelů</t>
  </si>
  <si>
    <t>Stolní On Desk  zásuvkový blok</t>
  </si>
  <si>
    <t xml:space="preserve">             Cenová nabídka 26-01</t>
  </si>
  <si>
    <t>Mistnost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</si>
</sst>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Kč&quot;"/>
    <numFmt numFmtId="165" formatCode="#,##0.00\ &quot;Kč&quot;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38"/>
    </font>
    <font>
      <sz val="10"/>
      <name val="Arial CE"/>
      <family val="2"/>
      <charset val="238"/>
    </font>
    <font>
      <b/>
      <sz val="14"/>
      <name val="Arial"/>
      <family val="2"/>
      <charset val="238"/>
    </font>
    <font>
      <sz val="12"/>
      <color theme="1"/>
      <name val="Arial"/>
      <family val="2"/>
      <charset val="238"/>
    </font>
    <font>
      <sz val="12"/>
      <name val="Arial"/>
      <family val="2"/>
      <charset val="238"/>
    </font>
    <font>
      <b/>
      <sz val="12"/>
      <name val="Arial"/>
      <family val="2"/>
      <charset val="238"/>
    </font>
    <font>
      <b/>
      <sz val="16"/>
      <name val="Arial"/>
      <family val="2"/>
      <charset val="238"/>
    </font>
    <font>
      <sz val="14"/>
      <name val="Arial"/>
      <family val="2"/>
      <charset val="238"/>
    </font>
    <font>
      <sz val="14"/>
      <color theme="1"/>
      <name val="Arial"/>
      <family val="2"/>
      <charset val="238"/>
    </font>
    <font>
      <b/>
      <sz val="12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28"/>
      <color rgb="FF002060"/>
      <name val="Aptos Narrow"/>
      <family val="2"/>
    </font>
    <font>
      <b/>
      <sz val="16"/>
      <color rgb="FF002060"/>
      <name val="Aptos Narrow"/>
      <family val="2"/>
    </font>
    <font>
      <sz val="12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u/>
      <sz val="12"/>
      <color rgb="FF002060"/>
      <name val="Calibri"/>
      <family val="2"/>
      <scheme val="minor"/>
    </font>
    <font>
      <b/>
      <u/>
      <sz val="12"/>
      <color rgb="FF002060"/>
      <name val="Calibri"/>
      <family val="2"/>
      <charset val="238"/>
      <scheme val="minor"/>
    </font>
    <font>
      <b/>
      <sz val="12"/>
      <color rgb="FF002060"/>
      <name val="Calibri"/>
      <family val="2"/>
      <charset val="238"/>
      <scheme val="minor"/>
    </font>
    <font>
      <b/>
      <u/>
      <sz val="14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7" fillId="0" borderId="0"/>
  </cellStyleXfs>
  <cellXfs count="92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 applyProtection="1">
      <alignment horizontal="left" vertical="center" wrapText="1"/>
      <protection locked="0"/>
    </xf>
    <xf numFmtId="3" fontId="5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3" fontId="6" fillId="0" borderId="1" xfId="0" applyNumberFormat="1" applyFont="1" applyBorder="1" applyAlignment="1" applyProtection="1">
      <alignment vertical="center" wrapText="1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4" fillId="4" borderId="9" xfId="0" applyFont="1" applyFill="1" applyBorder="1" applyAlignment="1">
      <alignment horizontal="center"/>
    </xf>
    <xf numFmtId="0" fontId="3" fillId="4" borderId="14" xfId="0" applyFont="1" applyFill="1" applyBorder="1" applyAlignment="1" applyProtection="1">
      <alignment horizontal="left" vertical="center" wrapText="1"/>
      <protection locked="0"/>
    </xf>
    <xf numFmtId="0" fontId="5" fillId="4" borderId="14" xfId="0" applyFont="1" applyFill="1" applyBorder="1" applyAlignment="1">
      <alignment horizontal="center" vertical="center" wrapText="1"/>
    </xf>
    <xf numFmtId="3" fontId="5" fillId="4" borderId="14" xfId="0" applyNumberFormat="1" applyFont="1" applyFill="1" applyBorder="1" applyAlignment="1">
      <alignment horizontal="right" vertical="center" wrapText="1"/>
    </xf>
    <xf numFmtId="164" fontId="5" fillId="4" borderId="14" xfId="0" applyNumberFormat="1" applyFont="1" applyFill="1" applyBorder="1" applyAlignment="1">
      <alignment horizontal="right" vertical="center" wrapText="1"/>
    </xf>
    <xf numFmtId="164" fontId="5" fillId="4" borderId="13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horizontal="right" vertical="center" wrapText="1"/>
      <protection locked="0"/>
    </xf>
    <xf numFmtId="3" fontId="3" fillId="0" borderId="1" xfId="0" applyNumberFormat="1" applyFont="1" applyBorder="1" applyAlignment="1" applyProtection="1">
      <alignment vertical="center" wrapText="1"/>
      <protection locked="0"/>
    </xf>
    <xf numFmtId="0" fontId="3" fillId="0" borderId="5" xfId="0" applyFont="1" applyBorder="1" applyAlignment="1" applyProtection="1">
      <alignment vertical="center" wrapText="1"/>
      <protection locked="0"/>
    </xf>
    <xf numFmtId="0" fontId="3" fillId="0" borderId="5" xfId="0" applyFont="1" applyBorder="1" applyAlignment="1" applyProtection="1">
      <alignment horizontal="right" vertical="center" wrapText="1"/>
      <protection locked="0"/>
    </xf>
    <xf numFmtId="3" fontId="3" fillId="0" borderId="5" xfId="0" applyNumberFormat="1" applyFont="1" applyBorder="1" applyAlignment="1" applyProtection="1">
      <alignment vertical="center" wrapText="1"/>
      <protection locked="0"/>
    </xf>
    <xf numFmtId="0" fontId="9" fillId="0" borderId="3" xfId="0" applyFont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 applyProtection="1">
      <alignment vertical="center" wrapText="1"/>
      <protection locked="0"/>
    </xf>
    <xf numFmtId="0" fontId="4" fillId="3" borderId="9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165" fontId="6" fillId="0" borderId="2" xfId="0" applyNumberFormat="1" applyFont="1" applyBorder="1" applyAlignment="1" applyProtection="1">
      <alignment vertical="center" wrapText="1"/>
      <protection locked="0"/>
    </xf>
    <xf numFmtId="0" fontId="10" fillId="5" borderId="0" xfId="0" applyFont="1" applyFill="1" applyAlignment="1">
      <alignment horizontal="left" vertical="center" wrapText="1"/>
    </xf>
    <xf numFmtId="0" fontId="10" fillId="0" borderId="0" xfId="0" applyFont="1"/>
    <xf numFmtId="0" fontId="11" fillId="0" borderId="0" xfId="0" applyFont="1" applyAlignment="1">
      <alignment horizontal="left"/>
    </xf>
    <xf numFmtId="0" fontId="10" fillId="5" borderId="0" xfId="0" applyFont="1" applyFill="1" applyAlignment="1">
      <alignment vertical="center" wrapText="1"/>
    </xf>
    <xf numFmtId="0" fontId="14" fillId="0" borderId="0" xfId="0" applyFont="1"/>
    <xf numFmtId="0" fontId="16" fillId="0" borderId="0" xfId="0" applyFont="1"/>
    <xf numFmtId="0" fontId="16" fillId="5" borderId="0" xfId="0" applyFont="1" applyFill="1" applyAlignment="1">
      <alignment vertical="center" wrapText="1"/>
    </xf>
    <xf numFmtId="0" fontId="18" fillId="0" borderId="0" xfId="0" applyFont="1"/>
    <xf numFmtId="0" fontId="10" fillId="5" borderId="0" xfId="0" applyFont="1" applyFill="1" applyAlignment="1">
      <alignment wrapText="1"/>
    </xf>
    <xf numFmtId="0" fontId="15" fillId="6" borderId="9" xfId="0" applyFont="1" applyFill="1" applyBorder="1" applyAlignment="1">
      <alignment vertical="top" wrapText="1"/>
    </xf>
    <xf numFmtId="0" fontId="15" fillId="6" borderId="14" xfId="0" applyFont="1" applyFill="1" applyBorder="1" applyAlignment="1">
      <alignment horizontal="center" vertical="top" wrapText="1"/>
    </xf>
    <xf numFmtId="0" fontId="15" fillId="6" borderId="13" xfId="0" applyFont="1" applyFill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right" vertical="center" wrapText="1"/>
    </xf>
    <xf numFmtId="165" fontId="5" fillId="0" borderId="8" xfId="0" applyNumberFormat="1" applyFont="1" applyBorder="1" applyAlignment="1">
      <alignment horizontal="right" vertical="center" wrapText="1"/>
    </xf>
    <xf numFmtId="165" fontId="5" fillId="0" borderId="15" xfId="0" applyNumberFormat="1" applyFont="1" applyBorder="1" applyAlignment="1">
      <alignment horizontal="right" vertical="center" wrapText="1"/>
    </xf>
    <xf numFmtId="0" fontId="4" fillId="3" borderId="9" xfId="0" applyFont="1" applyFill="1" applyBorder="1"/>
    <xf numFmtId="0" fontId="3" fillId="3" borderId="14" xfId="0" applyFont="1" applyFill="1" applyBorder="1" applyAlignment="1" applyProtection="1">
      <alignment horizontal="left" vertical="center" wrapText="1"/>
      <protection locked="0"/>
    </xf>
    <xf numFmtId="0" fontId="6" fillId="3" borderId="14" xfId="0" applyFont="1" applyFill="1" applyBorder="1" applyAlignment="1" applyProtection="1">
      <alignment vertical="center" wrapText="1"/>
      <protection locked="0"/>
    </xf>
    <xf numFmtId="0" fontId="6" fillId="3" borderId="14" xfId="0" applyFont="1" applyFill="1" applyBorder="1" applyAlignment="1" applyProtection="1">
      <alignment horizontal="right" vertical="center" wrapText="1"/>
      <protection locked="0"/>
    </xf>
    <xf numFmtId="3" fontId="6" fillId="3" borderId="14" xfId="0" applyNumberFormat="1" applyFont="1" applyFill="1" applyBorder="1" applyAlignment="1" applyProtection="1">
      <alignment vertical="center" wrapText="1"/>
      <protection locked="0"/>
    </xf>
    <xf numFmtId="3" fontId="6" fillId="3" borderId="13" xfId="0" applyNumberFormat="1" applyFont="1" applyFill="1" applyBorder="1" applyAlignment="1" applyProtection="1">
      <alignment vertical="center" wrapText="1"/>
      <protection locked="0"/>
    </xf>
    <xf numFmtId="4" fontId="13" fillId="0" borderId="0" xfId="0" applyNumberFormat="1" applyFont="1"/>
    <xf numFmtId="0" fontId="21" fillId="0" borderId="0" xfId="0" applyFont="1"/>
    <xf numFmtId="164" fontId="3" fillId="2" borderId="2" xfId="0" applyNumberFormat="1" applyFont="1" applyFill="1" applyBorder="1" applyAlignment="1" applyProtection="1">
      <alignment vertical="center" wrapText="1"/>
      <protection locked="0"/>
    </xf>
    <xf numFmtId="164" fontId="3" fillId="0" borderId="2" xfId="0" applyNumberFormat="1" applyFont="1" applyBorder="1" applyAlignment="1" applyProtection="1">
      <alignment vertical="center" wrapText="1"/>
      <protection locked="0"/>
    </xf>
    <xf numFmtId="164" fontId="3" fillId="0" borderId="6" xfId="0" applyNumberFormat="1" applyFont="1" applyBorder="1" applyAlignment="1" applyProtection="1">
      <alignment vertical="center" wrapText="1"/>
      <protection locked="0"/>
    </xf>
    <xf numFmtId="164" fontId="3" fillId="3" borderId="13" xfId="0" applyNumberFormat="1" applyFont="1" applyFill="1" applyBorder="1" applyAlignment="1">
      <alignment horizontal="right" vertical="center" wrapText="1"/>
    </xf>
    <xf numFmtId="164" fontId="3" fillId="4" borderId="13" xfId="0" applyNumberFormat="1" applyFont="1" applyFill="1" applyBorder="1" applyAlignment="1">
      <alignment horizontal="right" vertical="center" wrapText="1"/>
    </xf>
    <xf numFmtId="0" fontId="1" fillId="7" borderId="9" xfId="0" applyFont="1" applyFill="1" applyBorder="1" applyAlignment="1">
      <alignment horizontal="center"/>
    </xf>
    <xf numFmtId="0" fontId="3" fillId="7" borderId="10" xfId="0" applyFont="1" applyFill="1" applyBorder="1" applyAlignment="1" applyProtection="1">
      <alignment horizontal="left" vertical="center" wrapText="1"/>
      <protection locked="0"/>
    </xf>
    <xf numFmtId="165" fontId="3" fillId="7" borderId="13" xfId="0" applyNumberFormat="1" applyFont="1" applyFill="1" applyBorder="1" applyAlignment="1">
      <alignment horizontal="right" vertical="center" wrapText="1"/>
    </xf>
    <xf numFmtId="0" fontId="3" fillId="7" borderId="11" xfId="0" applyFont="1" applyFill="1" applyBorder="1" applyAlignment="1" applyProtection="1">
      <alignment horizontal="right" vertical="center" wrapText="1"/>
      <protection locked="0"/>
    </xf>
    <xf numFmtId="0" fontId="3" fillId="7" borderId="12" xfId="0" applyFont="1" applyFill="1" applyBorder="1" applyAlignment="1" applyProtection="1">
      <alignment horizontal="right" vertical="center" wrapText="1"/>
      <protection locked="0"/>
    </xf>
    <xf numFmtId="164" fontId="3" fillId="7" borderId="13" xfId="0" applyNumberFormat="1" applyFont="1" applyFill="1" applyBorder="1" applyAlignment="1">
      <alignment horizontal="right" vertical="center" wrapText="1"/>
    </xf>
    <xf numFmtId="0" fontId="1" fillId="0" borderId="7" xfId="0" applyFont="1" applyBorder="1" applyAlignment="1">
      <alignment horizontal="center" vertical="center"/>
    </xf>
    <xf numFmtId="0" fontId="3" fillId="7" borderId="10" xfId="0" applyFont="1" applyFill="1" applyBorder="1" applyAlignment="1" applyProtection="1">
      <alignment horizontal="left" vertical="center" wrapText="1"/>
      <protection locked="0"/>
    </xf>
    <xf numFmtId="0" fontId="3" fillId="7" borderId="11" xfId="0" applyFont="1" applyFill="1" applyBorder="1" applyAlignment="1" applyProtection="1">
      <alignment horizontal="left" vertical="center" wrapText="1"/>
      <protection locked="0"/>
    </xf>
    <xf numFmtId="0" fontId="3" fillId="7" borderId="12" xfId="0" applyFont="1" applyFill="1" applyBorder="1" applyAlignment="1" applyProtection="1">
      <alignment horizontal="left" vertical="center" wrapText="1"/>
      <protection locked="0"/>
    </xf>
    <xf numFmtId="0" fontId="12" fillId="0" borderId="0" xfId="0" applyFont="1" applyAlignment="1">
      <alignment horizontal="center"/>
    </xf>
    <xf numFmtId="4" fontId="13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3" fillId="4" borderId="10" xfId="0" applyFont="1" applyFill="1" applyBorder="1" applyAlignment="1" applyProtection="1">
      <alignment horizontal="right" vertical="center" wrapText="1"/>
      <protection locked="0"/>
    </xf>
    <xf numFmtId="0" fontId="3" fillId="4" borderId="11" xfId="0" applyFont="1" applyFill="1" applyBorder="1" applyAlignment="1" applyProtection="1">
      <alignment horizontal="right" vertical="center" wrapText="1"/>
      <protection locked="0"/>
    </xf>
    <xf numFmtId="0" fontId="3" fillId="4" borderId="12" xfId="0" applyFont="1" applyFill="1" applyBorder="1" applyAlignment="1" applyProtection="1">
      <alignment horizontal="right" vertical="center" wrapText="1"/>
      <protection locked="0"/>
    </xf>
    <xf numFmtId="0" fontId="3" fillId="3" borderId="10" xfId="0" applyFont="1" applyFill="1" applyBorder="1" applyAlignment="1" applyProtection="1">
      <alignment horizontal="right" vertical="center" wrapText="1"/>
      <protection locked="0"/>
    </xf>
    <xf numFmtId="0" fontId="3" fillId="3" borderId="11" xfId="0" applyFont="1" applyFill="1" applyBorder="1" applyAlignment="1" applyProtection="1">
      <alignment horizontal="right" vertical="center" wrapText="1"/>
      <protection locked="0"/>
    </xf>
    <xf numFmtId="0" fontId="3" fillId="3" borderId="12" xfId="0" applyFont="1" applyFill="1" applyBorder="1" applyAlignment="1" applyProtection="1">
      <alignment horizontal="right" vertical="center" wrapText="1"/>
      <protection locked="0"/>
    </xf>
    <xf numFmtId="0" fontId="10" fillId="5" borderId="0" xfId="0" applyFont="1" applyFill="1" applyAlignment="1">
      <alignment horizontal="left" wrapText="1"/>
    </xf>
    <xf numFmtId="0" fontId="14" fillId="5" borderId="0" xfId="0" applyFont="1" applyFill="1" applyAlignment="1">
      <alignment horizontal="left" wrapText="1"/>
    </xf>
    <xf numFmtId="3" fontId="14" fillId="5" borderId="0" xfId="0" applyNumberFormat="1" applyFont="1" applyFill="1" applyAlignment="1">
      <alignment horizontal="left" vertical="center" wrapText="1"/>
    </xf>
    <xf numFmtId="0" fontId="14" fillId="5" borderId="0" xfId="0" applyFont="1" applyFill="1" applyAlignment="1">
      <alignment horizontal="left" vertical="center" wrapText="1"/>
    </xf>
  </cellXfs>
  <cellStyles count="3">
    <cellStyle name="Normální" xfId="0" builtinId="0"/>
    <cellStyle name="normální 2" xfId="2" xr:uid="{5FD4C043-2B62-4521-9270-1BE7F901F198}"/>
    <cellStyle name="Normální 3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489856</xdr:colOff>
      <xdr:row>0</xdr:row>
      <xdr:rowOff>0</xdr:rowOff>
    </xdr:from>
    <xdr:to>
      <xdr:col>2</xdr:col>
      <xdr:colOff>816428</xdr:colOff>
      <xdr:row>3</xdr:row>
      <xdr:rowOff>79073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E5191900-C1F1-4C40-A524-796BB3BBF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56" y="0"/>
          <a:ext cx="1948543" cy="10696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9C1A-F322-40CC-939F-5B5AAA3EF7F4}">
  <sheetPr>
    <pageSetUpPr fitToPage="1"/>
  </sheetPr>
  <dimension ref="B1:G93"/>
  <sheetViews>
    <sheetView tabSelected="1" zoomScale="70" zoomScaleNormal="70" workbookViewId="0">
      <selection activeCell="D7" sqref="D7:G7"/>
    </sheetView>
  </sheetViews>
  <sheetFormatPr defaultColWidth="8.77734375" defaultRowHeight="14.4" x14ac:dyDescent="0.3"/>
  <cols>
    <col min="1" max="1" width="13.21875" customWidth="1"/>
    <col min="2" max="2" width="10.44140625" customWidth="1"/>
    <col min="3" max="3" width="69.6640625" customWidth="1"/>
    <col min="4" max="4" width="6.109375" customWidth="1"/>
    <col min="5" max="5" width="7.77734375" style="1" customWidth="1"/>
    <col min="6" max="6" width="15.6640625" customWidth="1"/>
    <col min="7" max="7" width="18.33203125" customWidth="1"/>
    <col min="8" max="8" width="4.44140625" customWidth="1"/>
  </cols>
  <sheetData>
    <row r="1" spans="2:7" ht="21.6" customHeight="1" x14ac:dyDescent="0.3">
      <c r="C1" s="78" t="s">
        <v>85</v>
      </c>
      <c r="D1" s="78"/>
      <c r="E1" s="78"/>
      <c r="F1" s="80" t="s">
        <v>80</v>
      </c>
      <c r="G1" s="80"/>
    </row>
    <row r="2" spans="2:7" ht="28.2" customHeight="1" x14ac:dyDescent="0.3">
      <c r="C2" s="78"/>
      <c r="D2" s="78"/>
      <c r="E2" s="78"/>
      <c r="F2" s="80" t="s">
        <v>81</v>
      </c>
      <c r="G2" s="80"/>
    </row>
    <row r="3" spans="2:7" ht="28.2" customHeight="1" x14ac:dyDescent="0.4">
      <c r="B3" s="8"/>
      <c r="C3" s="79" t="s">
        <v>79</v>
      </c>
      <c r="D3" s="79"/>
      <c r="E3" s="79"/>
      <c r="F3" s="61"/>
      <c r="G3" s="61"/>
    </row>
    <row r="4" spans="2:7" ht="22.8" customHeight="1" x14ac:dyDescent="0.3">
      <c r="B4" s="46" t="s">
        <v>19</v>
      </c>
      <c r="C4" s="40"/>
      <c r="D4" s="81"/>
      <c r="E4" s="81"/>
      <c r="F4" s="81"/>
      <c r="G4" s="81"/>
    </row>
    <row r="5" spans="2:7" ht="21.6" customHeight="1" x14ac:dyDescent="0.3">
      <c r="B5" s="40" t="s">
        <v>20</v>
      </c>
      <c r="C5" s="42"/>
      <c r="D5" s="88"/>
      <c r="E5" s="88"/>
      <c r="F5" s="88"/>
      <c r="G5" s="39"/>
    </row>
    <row r="6" spans="2:7" ht="15.6" customHeight="1" x14ac:dyDescent="0.3">
      <c r="B6" s="43" t="s">
        <v>30</v>
      </c>
      <c r="C6" s="42"/>
      <c r="D6" s="89"/>
      <c r="E6" s="88"/>
      <c r="F6" s="88"/>
      <c r="G6" s="39"/>
    </row>
    <row r="7" spans="2:7" ht="17.399999999999999" customHeight="1" x14ac:dyDescent="0.3">
      <c r="B7" s="43" t="s">
        <v>21</v>
      </c>
      <c r="C7" s="47"/>
      <c r="D7" s="89"/>
      <c r="E7" s="89"/>
      <c r="F7" s="89"/>
      <c r="G7" s="89"/>
    </row>
    <row r="8" spans="2:7" ht="18" customHeight="1" x14ac:dyDescent="0.3">
      <c r="B8" s="43" t="s">
        <v>22</v>
      </c>
      <c r="C8" s="42"/>
      <c r="D8" s="90"/>
      <c r="E8" s="91"/>
      <c r="F8" s="91"/>
      <c r="G8" s="91"/>
    </row>
    <row r="9" spans="2:7" ht="6.6" customHeight="1" x14ac:dyDescent="0.3">
      <c r="B9" s="43"/>
      <c r="C9" s="42"/>
      <c r="D9" s="39"/>
      <c r="E9" s="39"/>
      <c r="F9" s="39"/>
      <c r="G9" s="39"/>
    </row>
    <row r="10" spans="2:7" ht="13.2" customHeight="1" x14ac:dyDescent="0.35">
      <c r="B10" s="44"/>
      <c r="C10" s="45"/>
      <c r="D10" s="62" t="s">
        <v>23</v>
      </c>
      <c r="E10" s="39"/>
      <c r="F10" s="39"/>
      <c r="G10" s="39"/>
    </row>
    <row r="11" spans="2:7" ht="18" x14ac:dyDescent="0.35">
      <c r="B11" s="41"/>
      <c r="C11" s="45"/>
      <c r="D11" s="41" t="s">
        <v>86</v>
      </c>
      <c r="E11" s="42"/>
      <c r="F11" s="42"/>
      <c r="G11" s="42"/>
    </row>
    <row r="12" spans="2:7" ht="4.2" customHeight="1" thickBot="1" x14ac:dyDescent="0.4">
      <c r="B12" s="41"/>
      <c r="E12"/>
    </row>
    <row r="13" spans="2:7" ht="36.6" customHeight="1" thickBot="1" x14ac:dyDescent="0.35">
      <c r="B13" s="48" t="s">
        <v>28</v>
      </c>
      <c r="C13" s="49" t="s">
        <v>0</v>
      </c>
      <c r="D13" s="49" t="s">
        <v>3</v>
      </c>
      <c r="E13" s="49" t="s">
        <v>11</v>
      </c>
      <c r="F13" s="49" t="s">
        <v>24</v>
      </c>
      <c r="G13" s="50" t="s">
        <v>25</v>
      </c>
    </row>
    <row r="14" spans="2:7" ht="21.6" customHeight="1" thickBot="1" x14ac:dyDescent="0.35">
      <c r="B14" s="55"/>
      <c r="C14" s="56" t="s">
        <v>10</v>
      </c>
      <c r="D14" s="57"/>
      <c r="E14" s="58"/>
      <c r="F14" s="59"/>
      <c r="G14" s="60"/>
    </row>
    <row r="15" spans="2:7" ht="30.6" customHeight="1" x14ac:dyDescent="0.3">
      <c r="B15" s="33">
        <v>1</v>
      </c>
      <c r="C15" s="10" t="s">
        <v>52</v>
      </c>
      <c r="D15" s="51" t="s">
        <v>6</v>
      </c>
      <c r="E15" s="52">
        <v>1</v>
      </c>
      <c r="F15" s="53">
        <v>14250</v>
      </c>
      <c r="G15" s="54">
        <f t="shared" ref="G15:G25" si="0">E15*F15</f>
        <v>14250</v>
      </c>
    </row>
    <row r="16" spans="2:7" ht="30.6" customHeight="1" x14ac:dyDescent="0.3">
      <c r="B16" s="74">
        <v>2</v>
      </c>
      <c r="C16" s="5" t="s">
        <v>51</v>
      </c>
      <c r="D16" s="51" t="s">
        <v>6</v>
      </c>
      <c r="E16" s="52">
        <v>1</v>
      </c>
      <c r="F16" s="53">
        <v>4500</v>
      </c>
      <c r="G16" s="54">
        <f t="shared" si="0"/>
        <v>4500</v>
      </c>
    </row>
    <row r="17" spans="2:7" ht="30.6" customHeight="1" x14ac:dyDescent="0.3">
      <c r="B17" s="33">
        <v>3</v>
      </c>
      <c r="C17" s="5" t="s">
        <v>53</v>
      </c>
      <c r="D17" s="3" t="s">
        <v>5</v>
      </c>
      <c r="E17" s="6">
        <v>47</v>
      </c>
      <c r="F17" s="31">
        <v>186</v>
      </c>
      <c r="G17" s="37">
        <f t="shared" si="0"/>
        <v>8742</v>
      </c>
    </row>
    <row r="18" spans="2:7" ht="30.6" customHeight="1" x14ac:dyDescent="0.3">
      <c r="B18" s="74">
        <v>4</v>
      </c>
      <c r="C18" s="5" t="s">
        <v>54</v>
      </c>
      <c r="D18" s="3" t="s">
        <v>5</v>
      </c>
      <c r="E18" s="6">
        <v>38</v>
      </c>
      <c r="F18" s="31">
        <v>253</v>
      </c>
      <c r="G18" s="37">
        <f t="shared" ref="G18:G19" si="1">E18*F18</f>
        <v>9614</v>
      </c>
    </row>
    <row r="19" spans="2:7" ht="31.2" customHeight="1" x14ac:dyDescent="0.3">
      <c r="B19" s="33">
        <v>5</v>
      </c>
      <c r="C19" s="5" t="s">
        <v>55</v>
      </c>
      <c r="D19" s="3" t="s">
        <v>4</v>
      </c>
      <c r="E19" s="6">
        <v>13</v>
      </c>
      <c r="F19" s="31">
        <v>307</v>
      </c>
      <c r="G19" s="37">
        <f t="shared" si="1"/>
        <v>3991</v>
      </c>
    </row>
    <row r="20" spans="2:7" ht="31.2" customHeight="1" x14ac:dyDescent="0.3">
      <c r="B20" s="74">
        <v>6</v>
      </c>
      <c r="C20" s="5" t="s">
        <v>56</v>
      </c>
      <c r="D20" s="3" t="s">
        <v>4</v>
      </c>
      <c r="E20" s="6">
        <v>13</v>
      </c>
      <c r="F20" s="31">
        <v>480</v>
      </c>
      <c r="G20" s="37">
        <f>E20*F20</f>
        <v>6240</v>
      </c>
    </row>
    <row r="21" spans="2:7" ht="31.2" customHeight="1" x14ac:dyDescent="0.3">
      <c r="B21" s="33">
        <v>7</v>
      </c>
      <c r="C21" s="5" t="s">
        <v>82</v>
      </c>
      <c r="D21" s="3" t="s">
        <v>4</v>
      </c>
      <c r="E21" s="6">
        <v>2</v>
      </c>
      <c r="F21" s="31">
        <v>480</v>
      </c>
      <c r="G21" s="37">
        <f>E21*F21</f>
        <v>960</v>
      </c>
    </row>
    <row r="22" spans="2:7" ht="30.6" customHeight="1" x14ac:dyDescent="0.3">
      <c r="B22" s="74">
        <v>8</v>
      </c>
      <c r="C22" s="5" t="s">
        <v>44</v>
      </c>
      <c r="D22" s="3" t="s">
        <v>4</v>
      </c>
      <c r="E22" s="6">
        <v>82</v>
      </c>
      <c r="F22" s="31">
        <v>84</v>
      </c>
      <c r="G22" s="37">
        <f t="shared" si="0"/>
        <v>6888</v>
      </c>
    </row>
    <row r="23" spans="2:7" ht="31.2" customHeight="1" x14ac:dyDescent="0.3">
      <c r="B23" s="33">
        <v>9</v>
      </c>
      <c r="C23" s="5" t="s">
        <v>29</v>
      </c>
      <c r="D23" s="3" t="s">
        <v>4</v>
      </c>
      <c r="E23" s="6">
        <v>5</v>
      </c>
      <c r="F23" s="31">
        <v>176</v>
      </c>
      <c r="G23" s="37">
        <f t="shared" si="0"/>
        <v>880</v>
      </c>
    </row>
    <row r="24" spans="2:7" ht="31.2" customHeight="1" x14ac:dyDescent="0.3">
      <c r="B24" s="74">
        <v>10</v>
      </c>
      <c r="C24" s="5" t="s">
        <v>58</v>
      </c>
      <c r="D24" s="3" t="s">
        <v>5</v>
      </c>
      <c r="E24" s="6">
        <v>60</v>
      </c>
      <c r="F24" s="31">
        <v>43</v>
      </c>
      <c r="G24" s="37">
        <f t="shared" si="0"/>
        <v>2580</v>
      </c>
    </row>
    <row r="25" spans="2:7" ht="37.200000000000003" customHeight="1" x14ac:dyDescent="0.3">
      <c r="B25" s="33">
        <v>11</v>
      </c>
      <c r="C25" s="5" t="s">
        <v>66</v>
      </c>
      <c r="D25" s="3" t="s">
        <v>5</v>
      </c>
      <c r="E25" s="6">
        <v>200</v>
      </c>
      <c r="F25" s="31">
        <v>39</v>
      </c>
      <c r="G25" s="37">
        <f t="shared" si="0"/>
        <v>7800</v>
      </c>
    </row>
    <row r="26" spans="2:7" ht="45" customHeight="1" x14ac:dyDescent="0.3">
      <c r="B26" s="74">
        <v>12</v>
      </c>
      <c r="C26" s="5" t="s">
        <v>17</v>
      </c>
      <c r="D26" s="3" t="s">
        <v>5</v>
      </c>
      <c r="E26" s="6">
        <v>550</v>
      </c>
      <c r="F26" s="31">
        <v>39</v>
      </c>
      <c r="G26" s="37">
        <f t="shared" ref="G26:G27" si="2">E26*F26</f>
        <v>21450</v>
      </c>
    </row>
    <row r="27" spans="2:7" ht="48" customHeight="1" x14ac:dyDescent="0.3">
      <c r="B27" s="33">
        <v>13</v>
      </c>
      <c r="C27" s="5" t="s">
        <v>31</v>
      </c>
      <c r="D27" s="3" t="s">
        <v>5</v>
      </c>
      <c r="E27" s="6">
        <v>350</v>
      </c>
      <c r="F27" s="31">
        <v>39</v>
      </c>
      <c r="G27" s="37">
        <f t="shared" si="2"/>
        <v>13650</v>
      </c>
    </row>
    <row r="28" spans="2:7" ht="30.6" customHeight="1" x14ac:dyDescent="0.3">
      <c r="B28" s="74">
        <v>14</v>
      </c>
      <c r="C28" s="5" t="s">
        <v>16</v>
      </c>
      <c r="D28" s="3" t="s">
        <v>5</v>
      </c>
      <c r="E28" s="6">
        <v>100</v>
      </c>
      <c r="F28" s="31">
        <v>39</v>
      </c>
      <c r="G28" s="37">
        <f t="shared" ref="G28:G32" si="3">E28*F28</f>
        <v>3900</v>
      </c>
    </row>
    <row r="29" spans="2:7" ht="30.6" customHeight="1" x14ac:dyDescent="0.3">
      <c r="B29" s="33">
        <v>15</v>
      </c>
      <c r="C29" s="5" t="s">
        <v>83</v>
      </c>
      <c r="D29" s="3" t="s">
        <v>5</v>
      </c>
      <c r="E29" s="6">
        <v>200</v>
      </c>
      <c r="F29" s="31">
        <v>23</v>
      </c>
      <c r="G29" s="37">
        <f t="shared" ref="G29" si="4">E29*F29</f>
        <v>4600</v>
      </c>
    </row>
    <row r="30" spans="2:7" ht="30.6" customHeight="1" x14ac:dyDescent="0.3">
      <c r="B30" s="74">
        <v>16</v>
      </c>
      <c r="C30" s="5" t="s">
        <v>63</v>
      </c>
      <c r="D30" s="3" t="s">
        <v>5</v>
      </c>
      <c r="E30" s="6">
        <v>80</v>
      </c>
      <c r="F30" s="31">
        <v>18</v>
      </c>
      <c r="G30" s="37">
        <f t="shared" si="3"/>
        <v>1440</v>
      </c>
    </row>
    <row r="31" spans="2:7" ht="30.6" customHeight="1" x14ac:dyDescent="0.3">
      <c r="B31" s="33">
        <v>17</v>
      </c>
      <c r="C31" s="5" t="s">
        <v>50</v>
      </c>
      <c r="D31" s="3" t="s">
        <v>5</v>
      </c>
      <c r="E31" s="6">
        <v>100</v>
      </c>
      <c r="F31" s="31">
        <v>18</v>
      </c>
      <c r="G31" s="37">
        <f t="shared" ref="G31" si="5">E31*F31</f>
        <v>1800</v>
      </c>
    </row>
    <row r="32" spans="2:7" ht="30.6" customHeight="1" x14ac:dyDescent="0.3">
      <c r="B32" s="74">
        <v>18</v>
      </c>
      <c r="C32" s="5" t="s">
        <v>62</v>
      </c>
      <c r="D32" s="3" t="s">
        <v>5</v>
      </c>
      <c r="E32" s="6">
        <v>20</v>
      </c>
      <c r="F32" s="31">
        <v>39</v>
      </c>
      <c r="G32" s="37">
        <f t="shared" si="3"/>
        <v>780</v>
      </c>
    </row>
    <row r="33" spans="2:7" ht="30.6" customHeight="1" x14ac:dyDescent="0.3">
      <c r="B33" s="33">
        <v>19</v>
      </c>
      <c r="C33" s="5" t="s">
        <v>18</v>
      </c>
      <c r="D33" s="3" t="s">
        <v>4</v>
      </c>
      <c r="E33" s="6">
        <v>82</v>
      </c>
      <c r="F33" s="31">
        <v>54</v>
      </c>
      <c r="G33" s="37">
        <f t="shared" ref="G33:G35" si="6">E33*F33</f>
        <v>4428</v>
      </c>
    </row>
    <row r="34" spans="2:7" ht="30" customHeight="1" x14ac:dyDescent="0.3">
      <c r="B34" s="74">
        <v>20</v>
      </c>
      <c r="C34" s="5" t="s">
        <v>45</v>
      </c>
      <c r="D34" s="3" t="s">
        <v>6</v>
      </c>
      <c r="E34" s="6">
        <v>1</v>
      </c>
      <c r="F34" s="31">
        <v>760</v>
      </c>
      <c r="G34" s="37">
        <f t="shared" ref="G34" si="7">E34*F34</f>
        <v>760</v>
      </c>
    </row>
    <row r="35" spans="2:7" ht="30.6" customHeight="1" x14ac:dyDescent="0.3">
      <c r="B35" s="33">
        <v>21</v>
      </c>
      <c r="C35" s="5" t="s">
        <v>46</v>
      </c>
      <c r="D35" s="3" t="s">
        <v>4</v>
      </c>
      <c r="E35" s="6">
        <v>1</v>
      </c>
      <c r="F35" s="31">
        <v>380</v>
      </c>
      <c r="G35" s="37">
        <f t="shared" si="6"/>
        <v>380</v>
      </c>
    </row>
    <row r="36" spans="2:7" ht="48.6" customHeight="1" x14ac:dyDescent="0.3">
      <c r="B36" s="74">
        <v>22</v>
      </c>
      <c r="C36" s="5" t="s">
        <v>32</v>
      </c>
      <c r="D36" s="3" t="s">
        <v>4</v>
      </c>
      <c r="E36" s="6">
        <v>11</v>
      </c>
      <c r="F36" s="31">
        <v>178</v>
      </c>
      <c r="G36" s="37">
        <f t="shared" ref="G36:G40" si="8">E36*F36</f>
        <v>1958</v>
      </c>
    </row>
    <row r="37" spans="2:7" ht="48" customHeight="1" x14ac:dyDescent="0.3">
      <c r="B37" s="33">
        <v>23</v>
      </c>
      <c r="C37" s="5" t="s">
        <v>33</v>
      </c>
      <c r="D37" s="3" t="s">
        <v>4</v>
      </c>
      <c r="E37" s="6">
        <v>167</v>
      </c>
      <c r="F37" s="31">
        <v>178</v>
      </c>
      <c r="G37" s="37">
        <f t="shared" ref="G37:G38" si="9">E37*F37</f>
        <v>29726</v>
      </c>
    </row>
    <row r="38" spans="2:7" ht="20.399999999999999" customHeight="1" x14ac:dyDescent="0.3">
      <c r="B38" s="74">
        <v>24</v>
      </c>
      <c r="C38" s="5" t="s">
        <v>61</v>
      </c>
      <c r="D38" s="3" t="s">
        <v>4</v>
      </c>
      <c r="E38" s="6">
        <v>83</v>
      </c>
      <c r="F38" s="31">
        <v>255</v>
      </c>
      <c r="G38" s="37">
        <f t="shared" si="9"/>
        <v>21165</v>
      </c>
    </row>
    <row r="39" spans="2:7" ht="19.8" customHeight="1" x14ac:dyDescent="0.3">
      <c r="B39" s="33">
        <v>25</v>
      </c>
      <c r="C39" s="5" t="s">
        <v>34</v>
      </c>
      <c r="D39" s="3" t="s">
        <v>6</v>
      </c>
      <c r="E39" s="6">
        <v>1</v>
      </c>
      <c r="F39" s="31">
        <v>2750</v>
      </c>
      <c r="G39" s="37">
        <f t="shared" ref="G39" si="10">E39*F39</f>
        <v>2750</v>
      </c>
    </row>
    <row r="40" spans="2:7" ht="19.2" customHeight="1" x14ac:dyDescent="0.3">
      <c r="B40" s="74">
        <v>26</v>
      </c>
      <c r="C40" s="5" t="s">
        <v>77</v>
      </c>
      <c r="D40" s="3" t="s">
        <v>4</v>
      </c>
      <c r="E40" s="6">
        <v>32</v>
      </c>
      <c r="F40" s="31">
        <v>550</v>
      </c>
      <c r="G40" s="37">
        <f t="shared" si="8"/>
        <v>17600</v>
      </c>
    </row>
    <row r="41" spans="2:7" ht="34.200000000000003" customHeight="1" x14ac:dyDescent="0.3">
      <c r="B41" s="33">
        <v>27</v>
      </c>
      <c r="C41" s="10" t="s">
        <v>57</v>
      </c>
      <c r="D41" s="3" t="s">
        <v>6</v>
      </c>
      <c r="E41" s="6">
        <v>1</v>
      </c>
      <c r="F41" s="31">
        <v>9900</v>
      </c>
      <c r="G41" s="37">
        <f t="shared" ref="G41" si="11">E41*F41</f>
        <v>9900</v>
      </c>
    </row>
    <row r="42" spans="2:7" ht="20.399999999999999" customHeight="1" x14ac:dyDescent="0.3">
      <c r="B42" s="74">
        <v>28</v>
      </c>
      <c r="C42" s="5" t="s">
        <v>27</v>
      </c>
      <c r="D42" s="3" t="s">
        <v>6</v>
      </c>
      <c r="E42" s="6">
        <v>1</v>
      </c>
      <c r="F42" s="31">
        <v>1840</v>
      </c>
      <c r="G42" s="37">
        <f>E42*F42</f>
        <v>1840</v>
      </c>
    </row>
    <row r="43" spans="2:7" ht="20.399999999999999" customHeight="1" thickBot="1" x14ac:dyDescent="0.35">
      <c r="B43" s="33">
        <v>29</v>
      </c>
      <c r="C43" s="5" t="s">
        <v>65</v>
      </c>
      <c r="D43" s="3" t="s">
        <v>6</v>
      </c>
      <c r="E43" s="6">
        <v>1</v>
      </c>
      <c r="F43" s="31">
        <v>2750</v>
      </c>
      <c r="G43" s="37">
        <f>E43*F43</f>
        <v>2750</v>
      </c>
    </row>
    <row r="44" spans="2:7" ht="20.399999999999999" customHeight="1" thickBot="1" x14ac:dyDescent="0.35">
      <c r="B44" s="29"/>
      <c r="C44" s="85" t="s">
        <v>15</v>
      </c>
      <c r="D44" s="86"/>
      <c r="E44" s="86"/>
      <c r="F44" s="87"/>
      <c r="G44" s="66">
        <f>SUM(G15:G43)</f>
        <v>207322</v>
      </c>
    </row>
    <row r="45" spans="2:7" ht="20.399999999999999" customHeight="1" thickBot="1" x14ac:dyDescent="0.35">
      <c r="B45" s="35"/>
      <c r="C45" s="34"/>
      <c r="D45" s="34"/>
      <c r="E45" s="34"/>
      <c r="F45" s="34"/>
      <c r="G45" s="36"/>
    </row>
    <row r="46" spans="2:7" ht="20.399999999999999" customHeight="1" thickBot="1" x14ac:dyDescent="0.35">
      <c r="B46" s="11"/>
      <c r="C46" s="12" t="s">
        <v>14</v>
      </c>
      <c r="D46" s="13"/>
      <c r="E46" s="14"/>
      <c r="F46" s="15"/>
      <c r="G46" s="16"/>
    </row>
    <row r="47" spans="2:7" ht="21" customHeight="1" x14ac:dyDescent="0.3">
      <c r="B47" s="33">
        <v>1</v>
      </c>
      <c r="C47" s="10" t="s">
        <v>59</v>
      </c>
      <c r="D47" s="3" t="s">
        <v>6</v>
      </c>
      <c r="E47" s="6">
        <v>1</v>
      </c>
      <c r="F47" s="31">
        <v>59950</v>
      </c>
      <c r="G47" s="37">
        <f t="shared" ref="G47:G62" si="12">E47*F47</f>
        <v>59950</v>
      </c>
    </row>
    <row r="48" spans="2:7" ht="21" customHeight="1" x14ac:dyDescent="0.3">
      <c r="B48" s="32">
        <v>2</v>
      </c>
      <c r="C48" s="5" t="s">
        <v>26</v>
      </c>
      <c r="D48" s="3" t="s">
        <v>4</v>
      </c>
      <c r="E48" s="6">
        <v>1</v>
      </c>
      <c r="F48" s="31">
        <v>2510</v>
      </c>
      <c r="G48" s="37">
        <f t="shared" si="12"/>
        <v>2510</v>
      </c>
    </row>
    <row r="49" spans="2:7" ht="21" customHeight="1" x14ac:dyDescent="0.3">
      <c r="B49" s="33">
        <v>3</v>
      </c>
      <c r="C49" s="5" t="s">
        <v>43</v>
      </c>
      <c r="D49" s="3" t="s">
        <v>4</v>
      </c>
      <c r="E49" s="6">
        <v>82</v>
      </c>
      <c r="F49" s="31">
        <v>17.5</v>
      </c>
      <c r="G49" s="37">
        <f t="shared" ref="G49:G50" si="13">E49*F49</f>
        <v>1435</v>
      </c>
    </row>
    <row r="50" spans="2:7" ht="36" customHeight="1" x14ac:dyDescent="0.3">
      <c r="B50" s="32">
        <v>4</v>
      </c>
      <c r="C50" s="5" t="s">
        <v>75</v>
      </c>
      <c r="D50" s="3" t="s">
        <v>6</v>
      </c>
      <c r="E50" s="6">
        <v>13</v>
      </c>
      <c r="F50" s="31">
        <v>3581.95</v>
      </c>
      <c r="G50" s="37">
        <f t="shared" si="13"/>
        <v>46565.35</v>
      </c>
    </row>
    <row r="51" spans="2:7" ht="21.6" customHeight="1" x14ac:dyDescent="0.3">
      <c r="B51" s="33">
        <v>5</v>
      </c>
      <c r="C51" s="5" t="s">
        <v>84</v>
      </c>
      <c r="D51" s="3" t="s">
        <v>6</v>
      </c>
      <c r="E51" s="6">
        <v>2</v>
      </c>
      <c r="F51" s="31">
        <v>3822.45</v>
      </c>
      <c r="G51" s="37">
        <f t="shared" ref="G51" si="14">E51*F51</f>
        <v>7644.9</v>
      </c>
    </row>
    <row r="52" spans="2:7" ht="21" customHeight="1" x14ac:dyDescent="0.3">
      <c r="B52" s="32">
        <v>6</v>
      </c>
      <c r="C52" s="5" t="s">
        <v>60</v>
      </c>
      <c r="D52" s="3" t="s">
        <v>5</v>
      </c>
      <c r="E52" s="6">
        <v>60</v>
      </c>
      <c r="F52" s="31">
        <v>182.1</v>
      </c>
      <c r="G52" s="37">
        <f t="shared" ref="G52:G53" si="15">E52*F52</f>
        <v>10926</v>
      </c>
    </row>
    <row r="53" spans="2:7" ht="21.6" customHeight="1" x14ac:dyDescent="0.3">
      <c r="B53" s="33">
        <v>7</v>
      </c>
      <c r="C53" s="5" t="s">
        <v>67</v>
      </c>
      <c r="D53" s="3" t="s">
        <v>5</v>
      </c>
      <c r="E53" s="6">
        <v>200</v>
      </c>
      <c r="F53" s="31">
        <v>46.72</v>
      </c>
      <c r="G53" s="37">
        <f t="shared" si="15"/>
        <v>9344</v>
      </c>
    </row>
    <row r="54" spans="2:7" ht="21.6" customHeight="1" x14ac:dyDescent="0.3">
      <c r="B54" s="32">
        <v>8</v>
      </c>
      <c r="C54" s="5" t="s">
        <v>37</v>
      </c>
      <c r="D54" s="3" t="s">
        <v>5</v>
      </c>
      <c r="E54" s="6">
        <v>550</v>
      </c>
      <c r="F54" s="31">
        <v>27.81</v>
      </c>
      <c r="G54" s="37">
        <f t="shared" ref="G54" si="16">E54*F54</f>
        <v>15295.5</v>
      </c>
    </row>
    <row r="55" spans="2:7" ht="21.6" customHeight="1" x14ac:dyDescent="0.3">
      <c r="B55" s="33">
        <v>9</v>
      </c>
      <c r="C55" s="5" t="s">
        <v>35</v>
      </c>
      <c r="D55" s="3" t="s">
        <v>5</v>
      </c>
      <c r="E55" s="6">
        <v>350</v>
      </c>
      <c r="F55" s="31">
        <v>16.75</v>
      </c>
      <c r="G55" s="37">
        <f t="shared" si="12"/>
        <v>5862.5</v>
      </c>
    </row>
    <row r="56" spans="2:7" ht="21" customHeight="1" x14ac:dyDescent="0.3">
      <c r="B56" s="32">
        <v>10</v>
      </c>
      <c r="C56" s="5" t="s">
        <v>36</v>
      </c>
      <c r="D56" s="3" t="s">
        <v>5</v>
      </c>
      <c r="E56" s="6">
        <v>100</v>
      </c>
      <c r="F56" s="31">
        <v>16.75</v>
      </c>
      <c r="G56" s="37">
        <f t="shared" si="12"/>
        <v>1675</v>
      </c>
    </row>
    <row r="57" spans="2:7" ht="28.8" customHeight="1" x14ac:dyDescent="0.3">
      <c r="B57" s="33">
        <v>11</v>
      </c>
      <c r="C57" s="5" t="s">
        <v>72</v>
      </c>
      <c r="D57" s="3" t="s">
        <v>5</v>
      </c>
      <c r="E57" s="6">
        <v>200</v>
      </c>
      <c r="F57" s="31">
        <v>22.15</v>
      </c>
      <c r="G57" s="37">
        <f t="shared" ref="G57:G58" si="17">E57*F57</f>
        <v>4430</v>
      </c>
    </row>
    <row r="58" spans="2:7" ht="21.6" customHeight="1" x14ac:dyDescent="0.3">
      <c r="B58" s="32">
        <v>12</v>
      </c>
      <c r="C58" s="5" t="s">
        <v>78</v>
      </c>
      <c r="D58" s="3" t="s">
        <v>4</v>
      </c>
      <c r="E58" s="6">
        <v>2</v>
      </c>
      <c r="F58" s="31">
        <v>1760.4</v>
      </c>
      <c r="G58" s="37">
        <f t="shared" si="17"/>
        <v>3520.8</v>
      </c>
    </row>
    <row r="59" spans="2:7" ht="21.6" customHeight="1" x14ac:dyDescent="0.3">
      <c r="B59" s="33">
        <v>13</v>
      </c>
      <c r="C59" s="5" t="s">
        <v>76</v>
      </c>
      <c r="D59" s="3" t="s">
        <v>5</v>
      </c>
      <c r="E59" s="6">
        <v>0</v>
      </c>
      <c r="F59" s="31">
        <v>0</v>
      </c>
      <c r="G59" s="37">
        <f t="shared" ref="G59" si="18">E59*F59</f>
        <v>0</v>
      </c>
    </row>
    <row r="60" spans="2:7" ht="21.6" customHeight="1" x14ac:dyDescent="0.3">
      <c r="B60" s="32">
        <v>14</v>
      </c>
      <c r="C60" s="5" t="s">
        <v>64</v>
      </c>
      <c r="D60" s="3" t="s">
        <v>5</v>
      </c>
      <c r="E60" s="6">
        <v>80</v>
      </c>
      <c r="F60" s="31">
        <v>40.049999999999997</v>
      </c>
      <c r="G60" s="37">
        <f t="shared" ref="G60" si="19">E60*F60</f>
        <v>3204</v>
      </c>
    </row>
    <row r="61" spans="2:7" ht="21.6" customHeight="1" x14ac:dyDescent="0.3">
      <c r="B61" s="33">
        <v>15</v>
      </c>
      <c r="C61" s="5" t="s">
        <v>49</v>
      </c>
      <c r="D61" s="3" t="s">
        <v>5</v>
      </c>
      <c r="E61" s="6">
        <v>100</v>
      </c>
      <c r="F61" s="31">
        <v>23.81</v>
      </c>
      <c r="G61" s="37">
        <f t="shared" si="12"/>
        <v>2381</v>
      </c>
    </row>
    <row r="62" spans="2:7" ht="21.6" customHeight="1" x14ac:dyDescent="0.3">
      <c r="B62" s="32">
        <v>16</v>
      </c>
      <c r="C62" s="5" t="s">
        <v>69</v>
      </c>
      <c r="D62" s="3" t="s">
        <v>4</v>
      </c>
      <c r="E62" s="6">
        <v>104</v>
      </c>
      <c r="F62" s="31">
        <v>79.489999999999995</v>
      </c>
      <c r="G62" s="37">
        <f t="shared" si="12"/>
        <v>8266.9599999999991</v>
      </c>
    </row>
    <row r="63" spans="2:7" ht="21.6" customHeight="1" x14ac:dyDescent="0.3">
      <c r="B63" s="33">
        <v>17</v>
      </c>
      <c r="C63" s="5" t="s">
        <v>68</v>
      </c>
      <c r="D63" s="3" t="s">
        <v>4</v>
      </c>
      <c r="E63" s="6">
        <v>63</v>
      </c>
      <c r="F63" s="31">
        <v>154.21</v>
      </c>
      <c r="G63" s="37">
        <f t="shared" ref="G63:G71" si="20">E63*F63</f>
        <v>9715.2300000000014</v>
      </c>
    </row>
    <row r="64" spans="2:7" ht="21" customHeight="1" x14ac:dyDescent="0.3">
      <c r="B64" s="32">
        <v>18</v>
      </c>
      <c r="C64" s="5" t="s">
        <v>70</v>
      </c>
      <c r="D64" s="3" t="s">
        <v>4</v>
      </c>
      <c r="E64" s="6">
        <v>52</v>
      </c>
      <c r="F64" s="31">
        <v>328.64</v>
      </c>
      <c r="G64" s="37">
        <f t="shared" si="20"/>
        <v>17089.28</v>
      </c>
    </row>
    <row r="65" spans="2:7" ht="21" customHeight="1" x14ac:dyDescent="0.3">
      <c r="B65" s="33">
        <v>19</v>
      </c>
      <c r="C65" s="5" t="s">
        <v>71</v>
      </c>
      <c r="D65" s="3" t="s">
        <v>4</v>
      </c>
      <c r="E65" s="6">
        <v>31</v>
      </c>
      <c r="F65" s="31">
        <v>237.36</v>
      </c>
      <c r="G65" s="37">
        <f t="shared" ref="G65" si="21">E65*F65</f>
        <v>7358.1600000000008</v>
      </c>
    </row>
    <row r="66" spans="2:7" ht="21.6" customHeight="1" x14ac:dyDescent="0.3">
      <c r="B66" s="32">
        <v>20</v>
      </c>
      <c r="C66" s="5" t="s">
        <v>39</v>
      </c>
      <c r="D66" s="3" t="s">
        <v>4</v>
      </c>
      <c r="E66" s="6">
        <v>9</v>
      </c>
      <c r="F66" s="31">
        <v>146.25</v>
      </c>
      <c r="G66" s="37">
        <f t="shared" si="20"/>
        <v>1316.25</v>
      </c>
    </row>
    <row r="67" spans="2:7" ht="21.6" customHeight="1" x14ac:dyDescent="0.3">
      <c r="B67" s="33">
        <v>21</v>
      </c>
      <c r="C67" s="5" t="s">
        <v>40</v>
      </c>
      <c r="D67" s="3" t="s">
        <v>4</v>
      </c>
      <c r="E67" s="6">
        <v>2</v>
      </c>
      <c r="F67" s="31">
        <v>265.18</v>
      </c>
      <c r="G67" s="37">
        <f t="shared" si="20"/>
        <v>530.36</v>
      </c>
    </row>
    <row r="68" spans="2:7" ht="20.399999999999999" customHeight="1" x14ac:dyDescent="0.3">
      <c r="B68" s="32">
        <v>22</v>
      </c>
      <c r="C68" s="5" t="s">
        <v>73</v>
      </c>
      <c r="D68" s="3" t="s">
        <v>6</v>
      </c>
      <c r="E68" s="6">
        <v>1</v>
      </c>
      <c r="F68" s="31">
        <v>3275</v>
      </c>
      <c r="G68" s="37">
        <f t="shared" si="20"/>
        <v>3275</v>
      </c>
    </row>
    <row r="69" spans="2:7" ht="21" customHeight="1" x14ac:dyDescent="0.3">
      <c r="B69" s="33">
        <v>23</v>
      </c>
      <c r="C69" s="5" t="s">
        <v>38</v>
      </c>
      <c r="D69" s="3" t="s">
        <v>4</v>
      </c>
      <c r="E69" s="6">
        <v>32</v>
      </c>
      <c r="F69" s="31">
        <v>990</v>
      </c>
      <c r="G69" s="37">
        <f t="shared" si="20"/>
        <v>31680</v>
      </c>
    </row>
    <row r="70" spans="2:7" ht="21.6" customHeight="1" x14ac:dyDescent="0.3">
      <c r="B70" s="32">
        <v>24</v>
      </c>
      <c r="C70" s="5" t="s">
        <v>47</v>
      </c>
      <c r="D70" s="3" t="s">
        <v>6</v>
      </c>
      <c r="E70" s="6">
        <v>1</v>
      </c>
      <c r="F70" s="31">
        <v>2950</v>
      </c>
      <c r="G70" s="37">
        <f t="shared" si="20"/>
        <v>2950</v>
      </c>
    </row>
    <row r="71" spans="2:7" ht="30.6" thickBot="1" x14ac:dyDescent="0.35">
      <c r="B71" s="33">
        <v>25</v>
      </c>
      <c r="C71" s="5" t="s">
        <v>48</v>
      </c>
      <c r="D71" s="3" t="s">
        <v>6</v>
      </c>
      <c r="E71" s="6">
        <v>1</v>
      </c>
      <c r="F71" s="31">
        <v>12530</v>
      </c>
      <c r="G71" s="37">
        <f t="shared" si="20"/>
        <v>12530</v>
      </c>
    </row>
    <row r="72" spans="2:7" ht="18" thickBot="1" x14ac:dyDescent="0.35">
      <c r="B72" s="11"/>
      <c r="C72" s="82" t="s">
        <v>15</v>
      </c>
      <c r="D72" s="83"/>
      <c r="E72" s="83"/>
      <c r="F72" s="84"/>
      <c r="G72" s="67">
        <f>SUM(G47:G71)</f>
        <v>269455.28999999998</v>
      </c>
    </row>
    <row r="73" spans="2:7" ht="16.2" thickBot="1" x14ac:dyDescent="0.35">
      <c r="B73" s="4"/>
      <c r="C73" s="7"/>
      <c r="D73" s="3"/>
      <c r="E73" s="6"/>
      <c r="F73" s="9"/>
      <c r="G73" s="38"/>
    </row>
    <row r="74" spans="2:7" ht="21.6" customHeight="1" thickBot="1" x14ac:dyDescent="0.35">
      <c r="B74" s="68"/>
      <c r="C74" s="75" t="s">
        <v>42</v>
      </c>
      <c r="D74" s="76"/>
      <c r="E74" s="76"/>
      <c r="F74" s="77"/>
      <c r="G74" s="70"/>
    </row>
    <row r="75" spans="2:7" ht="21.6" customHeight="1" x14ac:dyDescent="0.3">
      <c r="B75" s="33">
        <v>1</v>
      </c>
      <c r="C75" s="5" t="s">
        <v>12</v>
      </c>
      <c r="D75" s="3" t="s">
        <v>6</v>
      </c>
      <c r="E75" s="6">
        <v>1</v>
      </c>
      <c r="F75" s="31">
        <v>10450</v>
      </c>
      <c r="G75" s="37">
        <f t="shared" ref="G75:G80" si="22">E75*F75</f>
        <v>10450</v>
      </c>
    </row>
    <row r="76" spans="2:7" ht="21.6" customHeight="1" x14ac:dyDescent="0.3">
      <c r="B76" s="33">
        <v>2</v>
      </c>
      <c r="C76" s="5" t="s">
        <v>13</v>
      </c>
      <c r="D76" s="3" t="s">
        <v>6</v>
      </c>
      <c r="E76" s="6">
        <v>1</v>
      </c>
      <c r="F76" s="31">
        <v>6700</v>
      </c>
      <c r="G76" s="37">
        <f t="shared" si="22"/>
        <v>6700</v>
      </c>
    </row>
    <row r="77" spans="2:7" ht="21.6" customHeight="1" x14ac:dyDescent="0.3">
      <c r="B77" s="33">
        <v>3</v>
      </c>
      <c r="C77" s="5" t="s">
        <v>7</v>
      </c>
      <c r="D77" s="3" t="s">
        <v>6</v>
      </c>
      <c r="E77" s="6">
        <v>1</v>
      </c>
      <c r="F77" s="31">
        <v>12100</v>
      </c>
      <c r="G77" s="37">
        <f t="shared" si="22"/>
        <v>12100</v>
      </c>
    </row>
    <row r="78" spans="2:7" ht="21.6" customHeight="1" x14ac:dyDescent="0.3">
      <c r="B78" s="33">
        <v>4</v>
      </c>
      <c r="C78" s="5" t="s">
        <v>8</v>
      </c>
      <c r="D78" s="3" t="s">
        <v>6</v>
      </c>
      <c r="E78" s="6">
        <v>1</v>
      </c>
      <c r="F78" s="31">
        <v>15000</v>
      </c>
      <c r="G78" s="37">
        <f t="shared" si="22"/>
        <v>15000</v>
      </c>
    </row>
    <row r="79" spans="2:7" ht="21.6" customHeight="1" x14ac:dyDescent="0.3">
      <c r="B79" s="33">
        <v>5</v>
      </c>
      <c r="C79" s="5" t="s">
        <v>74</v>
      </c>
      <c r="D79" s="3" t="s">
        <v>6</v>
      </c>
      <c r="E79" s="6">
        <v>1</v>
      </c>
      <c r="F79" s="31">
        <v>14700</v>
      </c>
      <c r="G79" s="37">
        <f t="shared" si="22"/>
        <v>14700</v>
      </c>
    </row>
    <row r="80" spans="2:7" ht="21" customHeight="1" thickBot="1" x14ac:dyDescent="0.35">
      <c r="B80" s="33">
        <v>6</v>
      </c>
      <c r="C80" s="5" t="s">
        <v>41</v>
      </c>
      <c r="D80" s="3" t="s">
        <v>6</v>
      </c>
      <c r="E80" s="6">
        <v>1</v>
      </c>
      <c r="F80" s="31">
        <v>9850</v>
      </c>
      <c r="G80" s="37">
        <f t="shared" si="22"/>
        <v>9850</v>
      </c>
    </row>
    <row r="81" spans="2:7" ht="18" thickBot="1" x14ac:dyDescent="0.35">
      <c r="B81" s="68"/>
      <c r="C81" s="69"/>
      <c r="D81" s="71"/>
      <c r="E81" s="71"/>
      <c r="F81" s="72" t="s">
        <v>15</v>
      </c>
      <c r="G81" s="73">
        <f>SUM(G75:G80)</f>
        <v>68800</v>
      </c>
    </row>
    <row r="82" spans="2:7" ht="15.6" x14ac:dyDescent="0.3">
      <c r="B82" s="4"/>
      <c r="C82" s="7"/>
      <c r="D82" s="3"/>
      <c r="E82" s="6"/>
      <c r="F82" s="9"/>
      <c r="G82" s="38"/>
    </row>
    <row r="83" spans="2:7" ht="17.399999999999999" x14ac:dyDescent="0.3">
      <c r="B83" s="24"/>
      <c r="C83" s="25" t="s">
        <v>1</v>
      </c>
      <c r="D83" s="26"/>
      <c r="E83" s="27"/>
      <c r="F83" s="28"/>
      <c r="G83" s="63">
        <f>G44+G72+G81</f>
        <v>545577.29</v>
      </c>
    </row>
    <row r="84" spans="2:7" ht="17.399999999999999" x14ac:dyDescent="0.3">
      <c r="B84" s="23"/>
      <c r="C84" s="17" t="s">
        <v>9</v>
      </c>
      <c r="D84" s="17"/>
      <c r="E84" s="18"/>
      <c r="F84" s="19"/>
      <c r="G84" s="64">
        <f>G83*0.21</f>
        <v>114571.23090000001</v>
      </c>
    </row>
    <row r="85" spans="2:7" ht="18" thickBot="1" x14ac:dyDescent="0.35">
      <c r="B85" s="30"/>
      <c r="C85" s="20" t="s">
        <v>2</v>
      </c>
      <c r="D85" s="20"/>
      <c r="E85" s="21"/>
      <c r="F85" s="22"/>
      <c r="G85" s="65">
        <f>SUM(G83:G84)</f>
        <v>660148.5209</v>
      </c>
    </row>
    <row r="86" spans="2:7" x14ac:dyDescent="0.3">
      <c r="C86" s="1"/>
      <c r="E86"/>
    </row>
    <row r="87" spans="2:7" x14ac:dyDescent="0.3">
      <c r="D87" s="1"/>
      <c r="E87"/>
      <c r="F87" s="2"/>
    </row>
    <row r="88" spans="2:7" x14ac:dyDescent="0.3">
      <c r="D88" s="1"/>
      <c r="E88"/>
      <c r="F88" s="2"/>
    </row>
    <row r="89" spans="2:7" x14ac:dyDescent="0.3">
      <c r="D89" s="1"/>
      <c r="E89"/>
    </row>
    <row r="90" spans="2:7" x14ac:dyDescent="0.3">
      <c r="D90" s="1"/>
      <c r="E90"/>
    </row>
    <row r="91" spans="2:7" x14ac:dyDescent="0.3">
      <c r="D91" s="1"/>
      <c r="E91"/>
    </row>
    <row r="92" spans="2:7" x14ac:dyDescent="0.3">
      <c r="D92" s="1"/>
      <c r="E92"/>
    </row>
    <row r="93" spans="2:7" x14ac:dyDescent="0.3">
      <c r="G93" s="2"/>
    </row>
  </sheetData>
  <mergeCells count="12">
    <mergeCell ref="C74:F74"/>
    <mergeCell ref="C1:E2"/>
    <mergeCell ref="C3:E3"/>
    <mergeCell ref="F1:G1"/>
    <mergeCell ref="F2:G2"/>
    <mergeCell ref="D4:G4"/>
    <mergeCell ref="C72:F72"/>
    <mergeCell ref="C44:F44"/>
    <mergeCell ref="D5:F5"/>
    <mergeCell ref="D6:F6"/>
    <mergeCell ref="D7:G7"/>
    <mergeCell ref="D8:G8"/>
  </mergeCells>
  <pageMargins left="0.25" right="0.25" top="0.75" bottom="0.75" header="0.3" footer="0.3"/>
  <pageSetup paperSize="9" scale="6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Elektroinstalace</vt:lpstr>
      <vt:lpstr>Elektroinstalace!Oblast_tisku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2024-02-22T09:42:40Z</dcterms:created>
  <dcterms:modified xsi:type="dcterms:W3CDTF">2026-03-03T18:56:35Z</dcterms:modified>
  <cp:category/>
  <cp:contentStatus/>
</cp:coreProperties>
</file>