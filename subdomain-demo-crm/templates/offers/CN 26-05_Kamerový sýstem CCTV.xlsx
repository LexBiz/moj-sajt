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508" documentId="8_{401CE3B5-4FF6-4229-BA01-4DD7DD75D93B}" xr6:coauthVersionLast="47" xr6:coauthVersionMax="47" xr10:uidLastSave="{291C47A1-42AF-48DA-8B70-B6BEFB282E6D}"/>
  <bookViews>
    <workbookView xWindow="-108" yWindow="-108" windowWidth="23256" windowHeight="13896" xr2:uid="{00000000-000D-0000-FFFF-FFFF00000000}"/>
  </bookViews>
  <sheets>
    <sheet name="Elektroinstalace" sheetId="6" r:id="rId1"/>
  </sheets>
  <definedNames>
    <definedName name="_xlnm.Print_Area" localSheetId="0">Elektroinstalace!$A$1:$I$56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6" l="1"/>
  <c r="G20" i="6"/>
  <c r="G19" i="6"/>
  <c r="G47" i="6"/>
  <c r="G34" i="6"/>
  <c r="G30" i="6"/>
  <c r="G48" i="6"/>
  <c r="G17" i="6" l="1"/>
  <c r="G33" i="6"/>
  <c r="G32" i="6"/>
  <c r="G36" i="6" l="1"/>
  <c r="G31" i="6"/>
  <c r="G49" i="6" l="1"/>
  <c r="G42" i="6"/>
  <c r="G41" i="6"/>
  <c r="G40" i="6"/>
  <c r="G39" i="6"/>
  <c r="G38" i="6"/>
  <c r="G37" i="6"/>
  <c r="G35" i="6"/>
  <c r="G29" i="6"/>
  <c r="G28" i="6"/>
  <c r="G23" i="6"/>
  <c r="G22" i="6"/>
  <c r="G21" i="6"/>
  <c r="G18" i="6"/>
  <c r="G16" i="6"/>
  <c r="G15" i="6"/>
  <c r="G43" i="6" l="1"/>
  <c r="G24" i="6" l="1"/>
  <c r="G25" i="6" l="1"/>
  <c r="G50" i="6" l="1"/>
  <c r="G46" i="6"/>
  <c r="G51" i="6" l="1"/>
  <c r="G54" i="6" l="1"/>
  <c r="G55" i="6" s="1"/>
  <c r="XET18" i="6" l="1"/>
</calcChain>
</file>

<file path=xl/sharedStrings.xml><?xml version="1.0" encoding="utf-8"?>
<sst xmlns="http://schemas.openxmlformats.org/spreadsheetml/2006/main" count="85" uniqueCount="56">
  <si>
    <t>Popis položky</t>
  </si>
  <si>
    <t>CELKOVÁ CENA BEZ DPH</t>
  </si>
  <si>
    <t>CELKOVÁ CENA VČETNĚ DPH</t>
  </si>
  <si>
    <t>MJ</t>
  </si>
  <si>
    <t>ks</t>
  </si>
  <si>
    <t>m</t>
  </si>
  <si>
    <t>kpl</t>
  </si>
  <si>
    <t>Doprava, logistika a manipulace materiálu</t>
  </si>
  <si>
    <t>DPH 21 %</t>
  </si>
  <si>
    <t>Množství</t>
  </si>
  <si>
    <t xml:space="preserve">Vedlejší práce, přesun hmot </t>
  </si>
  <si>
    <t>Celkem</t>
  </si>
  <si>
    <t>Dodavatel:</t>
  </si>
  <si>
    <t>O&amp;L MasterDom s.r.o.</t>
  </si>
  <si>
    <t>IČO: 17326583</t>
  </si>
  <si>
    <t>Moskevská 1464/61 Praha 10 - Vršovice 101 00</t>
  </si>
  <si>
    <t>Tel: +420 608 643 634</t>
  </si>
  <si>
    <t xml:space="preserve">Název objektu: </t>
  </si>
  <si>
    <t>Jednotková cena bez DPH</t>
  </si>
  <si>
    <t>Celková cena bez DPH</t>
  </si>
  <si>
    <t>Ostatní práce</t>
  </si>
  <si>
    <t>Práce Slaboproud</t>
  </si>
  <si>
    <t>Materiál Slaboproud</t>
  </si>
  <si>
    <t>CCTV</t>
  </si>
  <si>
    <t>Montáž strukturované kabeláže UTP, CAT6</t>
  </si>
  <si>
    <t>Drobný materiál a trasovací materiál-svorky, lanko, hmoždinky, zdrhovací pásky</t>
  </si>
  <si>
    <t>Ukončení datových kabelu konektorem UTP</t>
  </si>
  <si>
    <t>Montáž venkovní kamery</t>
  </si>
  <si>
    <t>Montáž kamerového systému nastavení a instalace nastavení záběru</t>
  </si>
  <si>
    <t>Montáž napájecího panelu – 5 zásuvek 230 V</t>
  </si>
  <si>
    <t>Montáž kamerového systému samolepky "Střeženo kamerovým systémem"</t>
  </si>
  <si>
    <t>IP ball kamera, 4MP, 2.8mm, WDR 120dB, IR a bílé světlo 30m, VA, IP67</t>
  </si>
  <si>
    <t>Instalační krabice pro kamery</t>
  </si>
  <si>
    <t>Konektor na drát/lanko s vložkou RJ45 UTP Cat6 nestíněný</t>
  </si>
  <si>
    <t>HDD-4TB Seagate</t>
  </si>
  <si>
    <t>Napájecí panel ACAR 504 WF RACK 5x230V</t>
  </si>
  <si>
    <t>Kabel datový jádro Cu plné plášť PVC (U/UTP) kategorie 6</t>
  </si>
  <si>
    <t>Samolepka "Střeženo kamerovým systémem" A5 červený text a piktogram</t>
  </si>
  <si>
    <t>IP ball kamera 4Mpix WizColor, 30m bílé LED, Auto Tracking Lite, integrovaný mikrofon a repro.</t>
  </si>
  <si>
    <t>Instalačna krabice pro kameru</t>
  </si>
  <si>
    <t>Myš</t>
  </si>
  <si>
    <t>Montáž vnitřní kamery</t>
  </si>
  <si>
    <t>Dokumentace - CCTV</t>
  </si>
  <si>
    <t>NVR pro 16 IP kamer, až 32MP, AI, bez HDD</t>
  </si>
  <si>
    <t>Interaktivní UPS, 1/1fáze 800 VA / 480 W, desktop, LCD, zásuvka 
1xSchuko+1xIEC</t>
  </si>
  <si>
    <t>Bezrámečkový LED monitor, 24", Full HD, VGA, HDMI, BNC, reproduktor, 
230V</t>
  </si>
  <si>
    <t>Smart managed switch, 16x PoE portů 10/100Mbps RJ45, 2× Gigabit combo RJ45/SPF</t>
  </si>
  <si>
    <t>Zprovoznění a zapojení stávajících elektro rozvodů</t>
  </si>
  <si>
    <t>IP dome kamera, 4MP, 2.8mm, WDR, VA, hybridní světlo 30m, audio, IP67</t>
  </si>
  <si>
    <t>Montáž Interaktivní UPS</t>
  </si>
  <si>
    <t>Montáž LED monitor</t>
  </si>
  <si>
    <t xml:space="preserve">                                                           Kamerový systém - CCTV</t>
  </si>
  <si>
    <t>Rodinný dům</t>
  </si>
  <si>
    <t xml:space="preserve">             Cenová nabídka 26-05</t>
  </si>
  <si>
    <t>Datum vytvoření:  14.02.2026</t>
  </si>
  <si>
    <t>Platí do:                   28.02.2026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</si>
</sst>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č&quot;"/>
    <numFmt numFmtId="165" formatCode="#,##0.00\ &quot;Kč&quot;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38"/>
    </font>
    <font>
      <sz val="10"/>
      <name val="Arial CE"/>
      <charset val="238"/>
    </font>
    <font>
      <b/>
      <sz val="14"/>
      <name val="Arial"/>
      <family val="2"/>
      <charset val="238"/>
    </font>
    <font>
      <sz val="12"/>
      <color theme="1"/>
      <name val="Arial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sz val="14"/>
      <name val="Arial"/>
      <family val="2"/>
      <charset val="238"/>
    </font>
    <font>
      <sz val="14"/>
      <color theme="1"/>
      <name val="Arial"/>
      <family val="2"/>
      <charset val="238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28"/>
      <color rgb="FF002060"/>
      <name val="Aptos Narrow"/>
      <family val="2"/>
    </font>
    <font>
      <b/>
      <sz val="16"/>
      <color rgb="FF002060"/>
      <name val="Aptos Narrow"/>
      <family val="2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2"/>
      <color rgb="FF002060"/>
      <name val="Calibri"/>
      <family val="2"/>
      <charset val="238"/>
      <scheme val="minor"/>
    </font>
    <font>
      <sz val="9"/>
      <name val="Arial CE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 applyProtection="1">
      <alignment horizontal="left" vertical="center" wrapText="1"/>
      <protection locked="0"/>
    </xf>
    <xf numFmtId="3" fontId="5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 applyProtection="1">
      <alignment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4" fillId="4" borderId="9" xfId="0" applyFont="1" applyFill="1" applyBorder="1" applyAlignment="1">
      <alignment horizontal="center"/>
    </xf>
    <xf numFmtId="0" fontId="3" fillId="4" borderId="14" xfId="0" applyFont="1" applyFill="1" applyBorder="1" applyAlignment="1" applyProtection="1">
      <alignment horizontal="left" vertical="center" wrapText="1"/>
      <protection locked="0"/>
    </xf>
    <xf numFmtId="0" fontId="5" fillId="4" borderId="14" xfId="0" applyFont="1" applyFill="1" applyBorder="1" applyAlignment="1">
      <alignment horizontal="center" vertical="center" wrapText="1"/>
    </xf>
    <xf numFmtId="3" fontId="5" fillId="4" borderId="14" xfId="0" applyNumberFormat="1" applyFont="1" applyFill="1" applyBorder="1" applyAlignment="1">
      <alignment horizontal="right" vertical="center" wrapText="1"/>
    </xf>
    <xf numFmtId="164" fontId="5" fillId="4" borderId="14" xfId="0" applyNumberFormat="1" applyFont="1" applyFill="1" applyBorder="1" applyAlignment="1">
      <alignment horizontal="right" vertical="center" wrapText="1"/>
    </xf>
    <xf numFmtId="164" fontId="5" fillId="4" borderId="13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right" vertical="center" wrapText="1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horizontal="right" vertical="center" wrapText="1"/>
      <protection locked="0"/>
    </xf>
    <xf numFmtId="3" fontId="3" fillId="0" borderId="5" xfId="0" applyNumberFormat="1" applyFont="1" applyBorder="1" applyAlignment="1" applyProtection="1">
      <alignment vertical="center" wrapText="1"/>
      <protection locked="0"/>
    </xf>
    <xf numFmtId="0" fontId="8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 applyProtection="1">
      <alignment vertical="center" wrapText="1"/>
      <protection locked="0"/>
    </xf>
    <xf numFmtId="0" fontId="4" fillId="3" borderId="9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5" fontId="6" fillId="0" borderId="2" xfId="0" applyNumberFormat="1" applyFont="1" applyBorder="1" applyAlignment="1" applyProtection="1">
      <alignment vertical="center" wrapText="1"/>
      <protection locked="0"/>
    </xf>
    <xf numFmtId="0" fontId="9" fillId="5" borderId="0" xfId="0" applyFont="1" applyFill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/>
    </xf>
    <xf numFmtId="0" fontId="9" fillId="5" borderId="0" xfId="0" applyFont="1" applyFill="1" applyAlignment="1">
      <alignment vertical="center" wrapText="1"/>
    </xf>
    <xf numFmtId="0" fontId="13" fillId="0" borderId="0" xfId="0" applyFont="1"/>
    <xf numFmtId="0" fontId="15" fillId="0" borderId="0" xfId="0" applyFont="1"/>
    <xf numFmtId="0" fontId="15" fillId="5" borderId="0" xfId="0" applyFont="1" applyFill="1" applyAlignment="1">
      <alignment vertical="center" wrapText="1"/>
    </xf>
    <xf numFmtId="0" fontId="14" fillId="6" borderId="16" xfId="0" applyFont="1" applyFill="1" applyBorder="1" applyAlignment="1">
      <alignment horizontal="center" vertical="top" wrapText="1"/>
    </xf>
    <xf numFmtId="0" fontId="14" fillId="6" borderId="17" xfId="0" applyFont="1" applyFill="1" applyBorder="1" applyAlignment="1">
      <alignment horizontal="center" vertical="top" wrapText="1"/>
    </xf>
    <xf numFmtId="0" fontId="1" fillId="7" borderId="9" xfId="0" applyFont="1" applyFill="1" applyBorder="1" applyAlignment="1">
      <alignment horizontal="center"/>
    </xf>
    <xf numFmtId="0" fontId="3" fillId="7" borderId="10" xfId="0" applyFont="1" applyFill="1" applyBorder="1" applyAlignment="1" applyProtection="1">
      <alignment horizontal="left" vertical="center" wrapText="1"/>
      <protection locked="0"/>
    </xf>
    <xf numFmtId="165" fontId="3" fillId="7" borderId="13" xfId="0" applyNumberFormat="1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right" vertical="center" wrapText="1"/>
    </xf>
    <xf numFmtId="165" fontId="5" fillId="0" borderId="8" xfId="0" applyNumberFormat="1" applyFont="1" applyBorder="1" applyAlignment="1">
      <alignment horizontal="right" vertical="center" wrapText="1"/>
    </xf>
    <xf numFmtId="165" fontId="5" fillId="0" borderId="18" xfId="0" applyNumberFormat="1" applyFont="1" applyBorder="1" applyAlignment="1">
      <alignment horizontal="right" vertical="center" wrapText="1"/>
    </xf>
    <xf numFmtId="0" fontId="5" fillId="0" borderId="5" xfId="0" applyFont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right" vertical="center" wrapText="1"/>
    </xf>
    <xf numFmtId="165" fontId="5" fillId="0" borderId="5" xfId="0" applyNumberFormat="1" applyFont="1" applyBorder="1" applyAlignment="1">
      <alignment horizontal="right" vertical="center" wrapText="1"/>
    </xf>
    <xf numFmtId="165" fontId="5" fillId="0" borderId="6" xfId="0" applyNumberFormat="1" applyFont="1" applyBorder="1" applyAlignment="1">
      <alignment horizontal="right" vertical="center" wrapText="1"/>
    </xf>
    <xf numFmtId="0" fontId="3" fillId="7" borderId="11" xfId="0" applyFont="1" applyFill="1" applyBorder="1" applyAlignment="1" applyProtection="1">
      <alignment horizontal="right" vertical="center" wrapText="1"/>
      <protection locked="0"/>
    </xf>
    <xf numFmtId="0" fontId="3" fillId="7" borderId="12" xfId="0" applyFont="1" applyFill="1" applyBorder="1" applyAlignment="1" applyProtection="1">
      <alignment horizontal="right" vertical="center" wrapText="1"/>
      <protection locked="0"/>
    </xf>
    <xf numFmtId="0" fontId="4" fillId="5" borderId="0" xfId="0" applyFont="1" applyFill="1" applyAlignment="1">
      <alignment horizontal="center"/>
    </xf>
    <xf numFmtId="0" fontId="3" fillId="5" borderId="0" xfId="0" applyFont="1" applyFill="1" applyAlignment="1" applyProtection="1">
      <alignment horizontal="right" vertical="center" wrapText="1"/>
      <protection locked="0"/>
    </xf>
    <xf numFmtId="165" fontId="3" fillId="5" borderId="0" xfId="0" applyNumberFormat="1" applyFont="1" applyFill="1" applyAlignment="1">
      <alignment horizontal="right" vertical="center" wrapText="1"/>
    </xf>
    <xf numFmtId="0" fontId="4" fillId="3" borderId="9" xfId="0" applyFont="1" applyFill="1" applyBorder="1"/>
    <xf numFmtId="0" fontId="3" fillId="3" borderId="14" xfId="0" applyFont="1" applyFill="1" applyBorder="1" applyAlignment="1" applyProtection="1">
      <alignment horizontal="left" vertical="center" wrapText="1"/>
      <protection locked="0"/>
    </xf>
    <xf numFmtId="0" fontId="6" fillId="3" borderId="14" xfId="0" applyFont="1" applyFill="1" applyBorder="1" applyAlignment="1" applyProtection="1">
      <alignment vertical="center" wrapText="1"/>
      <protection locked="0"/>
    </xf>
    <xf numFmtId="0" fontId="6" fillId="3" borderId="14" xfId="0" applyFont="1" applyFill="1" applyBorder="1" applyAlignment="1" applyProtection="1">
      <alignment horizontal="right" vertical="center" wrapText="1"/>
      <protection locked="0"/>
    </xf>
    <xf numFmtId="3" fontId="6" fillId="3" borderId="14" xfId="0" applyNumberFormat="1" applyFont="1" applyFill="1" applyBorder="1" applyAlignment="1" applyProtection="1">
      <alignment vertical="center" wrapText="1"/>
      <protection locked="0"/>
    </xf>
    <xf numFmtId="3" fontId="6" fillId="3" borderId="13" xfId="0" applyNumberFormat="1" applyFont="1" applyFill="1" applyBorder="1" applyAlignment="1" applyProtection="1">
      <alignment vertical="center" wrapText="1"/>
      <protection locked="0"/>
    </xf>
    <xf numFmtId="49" fontId="17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3" fillId="3" borderId="13" xfId="0" applyNumberFormat="1" applyFont="1" applyFill="1" applyBorder="1" applyAlignment="1">
      <alignment horizontal="right" vertical="center" wrapText="1"/>
    </xf>
    <xf numFmtId="164" fontId="3" fillId="4" borderId="13" xfId="0" applyNumberFormat="1" applyFont="1" applyFill="1" applyBorder="1" applyAlignment="1">
      <alignment horizontal="right" vertical="center" wrapText="1"/>
    </xf>
    <xf numFmtId="164" fontId="3" fillId="7" borderId="13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 applyProtection="1">
      <alignment vertical="center" wrapText="1"/>
      <protection locked="0"/>
    </xf>
    <xf numFmtId="164" fontId="3" fillId="0" borderId="2" xfId="0" applyNumberFormat="1" applyFont="1" applyBorder="1" applyAlignment="1" applyProtection="1">
      <alignment vertical="center" wrapText="1"/>
      <protection locked="0"/>
    </xf>
    <xf numFmtId="164" fontId="3" fillId="0" borderId="6" xfId="0" applyNumberFormat="1" applyFont="1" applyBorder="1" applyAlignment="1" applyProtection="1">
      <alignment vertical="center" wrapText="1"/>
      <protection locked="0"/>
    </xf>
    <xf numFmtId="0" fontId="1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>
      <alignment horizontal="center" vertical="center"/>
    </xf>
    <xf numFmtId="4" fontId="12" fillId="0" borderId="0" xfId="0" applyNumberFormat="1" applyFont="1" applyAlignment="1">
      <alignment horizontal="left" vertical="center"/>
    </xf>
    <xf numFmtId="0" fontId="3" fillId="7" borderId="10" xfId="0" applyFont="1" applyFill="1" applyBorder="1" applyAlignment="1" applyProtection="1">
      <alignment horizontal="left" vertical="center" wrapText="1"/>
      <protection locked="0"/>
    </xf>
    <xf numFmtId="0" fontId="3" fillId="7" borderId="11" xfId="0" applyFont="1" applyFill="1" applyBorder="1" applyAlignment="1" applyProtection="1">
      <alignment horizontal="left" vertical="center" wrapText="1"/>
      <protection locked="0"/>
    </xf>
    <xf numFmtId="0" fontId="3" fillId="7" borderId="12" xfId="0" applyFont="1" applyFill="1" applyBorder="1" applyAlignment="1" applyProtection="1">
      <alignment horizontal="left" vertical="center" wrapText="1"/>
      <protection locked="0"/>
    </xf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4" fillId="6" borderId="15" xfId="0" applyFont="1" applyFill="1" applyBorder="1" applyAlignment="1">
      <alignment horizontal="center" vertical="top" wrapText="1"/>
    </xf>
    <xf numFmtId="0" fontId="14" fillId="6" borderId="16" xfId="0" applyFont="1" applyFill="1" applyBorder="1" applyAlignment="1">
      <alignment horizontal="center" vertical="top" wrapText="1"/>
    </xf>
    <xf numFmtId="0" fontId="9" fillId="5" borderId="0" xfId="0" applyFont="1" applyFill="1" applyAlignment="1">
      <alignment horizontal="left" wrapText="1"/>
    </xf>
    <xf numFmtId="0" fontId="13" fillId="5" borderId="0" xfId="0" applyFont="1" applyFill="1" applyAlignment="1">
      <alignment horizontal="left" wrapText="1"/>
    </xf>
    <xf numFmtId="0" fontId="13" fillId="5" borderId="0" xfId="0" applyFont="1" applyFill="1" applyAlignment="1">
      <alignment horizontal="left" vertical="center" wrapText="1"/>
    </xf>
    <xf numFmtId="0" fontId="3" fillId="3" borderId="10" xfId="0" applyFont="1" applyFill="1" applyBorder="1" applyAlignment="1" applyProtection="1">
      <alignment horizontal="right" vertical="center" wrapText="1"/>
      <protection locked="0"/>
    </xf>
    <xf numFmtId="0" fontId="3" fillId="3" borderId="11" xfId="0" applyFont="1" applyFill="1" applyBorder="1" applyAlignment="1" applyProtection="1">
      <alignment horizontal="right" vertical="center" wrapText="1"/>
      <protection locked="0"/>
    </xf>
    <xf numFmtId="0" fontId="3" fillId="3" borderId="12" xfId="0" applyFont="1" applyFill="1" applyBorder="1" applyAlignment="1" applyProtection="1">
      <alignment horizontal="right" vertical="center" wrapText="1"/>
      <protection locked="0"/>
    </xf>
    <xf numFmtId="0" fontId="3" fillId="4" borderId="10" xfId="0" applyFont="1" applyFill="1" applyBorder="1" applyAlignment="1" applyProtection="1">
      <alignment horizontal="right" vertical="center" wrapText="1"/>
      <protection locked="0"/>
    </xf>
    <xf numFmtId="0" fontId="3" fillId="4" borderId="11" xfId="0" applyFont="1" applyFill="1" applyBorder="1" applyAlignment="1" applyProtection="1">
      <alignment horizontal="right" vertical="center" wrapText="1"/>
      <protection locked="0"/>
    </xf>
    <xf numFmtId="0" fontId="3" fillId="4" borderId="12" xfId="0" applyFont="1" applyFill="1" applyBorder="1" applyAlignment="1" applyProtection="1">
      <alignment horizontal="right" vertical="center" wrapText="1"/>
      <protection locked="0"/>
    </xf>
  </cellXfs>
  <cellStyles count="2">
    <cellStyle name="Normální" xfId="0" builtinId="0"/>
    <cellStyle name="Normální 3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493059</xdr:colOff>
      <xdr:row>0</xdr:row>
      <xdr:rowOff>0</xdr:rowOff>
    </xdr:from>
    <xdr:to>
      <xdr:col>2</xdr:col>
      <xdr:colOff>1039906</xdr:colOff>
      <xdr:row>2</xdr:row>
      <xdr:rowOff>565631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6668D4BF-EBAF-4240-99FB-25209529D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59" y="0"/>
          <a:ext cx="2017059" cy="1094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9C1A-F322-40CC-939F-5B5AAA3EF7F4}">
  <sheetPr>
    <pageSetUpPr fitToPage="1"/>
  </sheetPr>
  <dimension ref="B1:XET84"/>
  <sheetViews>
    <sheetView tabSelected="1" topLeftCell="A38" zoomScale="85" zoomScaleNormal="85" workbookViewId="0">
      <selection activeCell="J6" sqref="J6"/>
    </sheetView>
  </sheetViews>
  <sheetFormatPr defaultColWidth="8.6640625" defaultRowHeight="14.4" x14ac:dyDescent="0.3"/>
  <cols>
    <col min="1" max="1" width="13.33203125" customWidth="1"/>
    <col min="2" max="2" width="8.109375" customWidth="1"/>
    <col min="3" max="3" width="77.44140625" customWidth="1"/>
    <col min="4" max="4" width="6.6640625" customWidth="1"/>
    <col min="5" max="5" width="10.5546875" style="1" customWidth="1"/>
    <col min="6" max="6" width="15.6640625" customWidth="1"/>
    <col min="7" max="7" width="20.88671875" customWidth="1"/>
    <col min="8" max="8" width="4.44140625" customWidth="1"/>
  </cols>
  <sheetData>
    <row r="1" spans="2:7" ht="16.2" customHeight="1" x14ac:dyDescent="0.3">
      <c r="C1" s="81" t="s">
        <v>53</v>
      </c>
      <c r="D1" s="81"/>
      <c r="E1" s="81"/>
      <c r="F1" s="82" t="s">
        <v>54</v>
      </c>
      <c r="G1" s="82"/>
    </row>
    <row r="2" spans="2:7" ht="25.2" customHeight="1" x14ac:dyDescent="0.3">
      <c r="C2" s="81"/>
      <c r="D2" s="81"/>
      <c r="E2" s="81"/>
      <c r="F2" s="82" t="s">
        <v>55</v>
      </c>
      <c r="G2" s="82"/>
    </row>
    <row r="3" spans="2:7" ht="67.2" customHeight="1" x14ac:dyDescent="0.3">
      <c r="B3" s="77" t="s">
        <v>51</v>
      </c>
      <c r="C3" s="77"/>
      <c r="D3" s="77"/>
      <c r="E3" s="77"/>
      <c r="F3" s="77"/>
      <c r="G3" s="77"/>
    </row>
    <row r="4" spans="2:7" ht="24" customHeight="1" x14ac:dyDescent="0.3">
      <c r="B4" s="34" t="s">
        <v>12</v>
      </c>
      <c r="C4" s="34"/>
      <c r="D4" s="85"/>
      <c r="E4" s="85"/>
      <c r="F4" s="85"/>
      <c r="G4" s="85"/>
    </row>
    <row r="5" spans="2:7" ht="21.6" customHeight="1" x14ac:dyDescent="0.3">
      <c r="B5" s="34" t="s">
        <v>13</v>
      </c>
      <c r="C5" s="36"/>
      <c r="D5" s="85"/>
      <c r="E5" s="85"/>
      <c r="F5" s="85"/>
      <c r="G5" s="85"/>
    </row>
    <row r="6" spans="2:7" ht="17.399999999999999" customHeight="1" x14ac:dyDescent="0.3">
      <c r="B6" s="37" t="s">
        <v>14</v>
      </c>
      <c r="C6" s="36"/>
      <c r="D6" s="86"/>
      <c r="E6" s="85"/>
      <c r="F6" s="85"/>
      <c r="G6" s="33"/>
    </row>
    <row r="7" spans="2:7" ht="16.2" customHeight="1" x14ac:dyDescent="0.3">
      <c r="B7" s="37" t="s">
        <v>15</v>
      </c>
      <c r="C7" s="36"/>
      <c r="D7" s="86"/>
      <c r="E7" s="86"/>
      <c r="F7" s="86"/>
      <c r="G7" s="86"/>
    </row>
    <row r="8" spans="2:7" ht="19.8" customHeight="1" x14ac:dyDescent="0.3">
      <c r="B8" s="37" t="s">
        <v>16</v>
      </c>
      <c r="C8" s="36"/>
      <c r="D8" s="87"/>
      <c r="E8" s="87"/>
      <c r="F8" s="87"/>
      <c r="G8" s="87"/>
    </row>
    <row r="9" spans="2:7" ht="17.399999999999999" customHeight="1" x14ac:dyDescent="0.3">
      <c r="B9" s="37"/>
      <c r="C9" s="36"/>
      <c r="D9" s="33"/>
      <c r="E9" s="33"/>
      <c r="F9" s="33"/>
      <c r="G9" s="33"/>
    </row>
    <row r="10" spans="2:7" ht="30" customHeight="1" x14ac:dyDescent="0.35">
      <c r="B10" s="38"/>
      <c r="C10" s="39"/>
      <c r="D10" s="38" t="s">
        <v>17</v>
      </c>
      <c r="E10" s="39"/>
      <c r="F10" s="33"/>
      <c r="G10" s="33"/>
    </row>
    <row r="11" spans="2:7" ht="15.6" customHeight="1" x14ac:dyDescent="0.35">
      <c r="B11" s="35"/>
      <c r="C11" s="39"/>
      <c r="D11" s="35" t="s">
        <v>52</v>
      </c>
      <c r="E11" s="39"/>
      <c r="F11" s="36"/>
      <c r="G11" s="36"/>
    </row>
    <row r="12" spans="2:7" ht="8.4" customHeight="1" thickBot="1" x14ac:dyDescent="0.4">
      <c r="B12" s="35"/>
      <c r="E12"/>
    </row>
    <row r="13" spans="2:7" ht="35.4" customHeight="1" thickBot="1" x14ac:dyDescent="0.35">
      <c r="B13" s="83" t="s">
        <v>0</v>
      </c>
      <c r="C13" s="84"/>
      <c r="D13" s="40" t="s">
        <v>3</v>
      </c>
      <c r="E13" s="40" t="s">
        <v>9</v>
      </c>
      <c r="F13" s="40" t="s">
        <v>18</v>
      </c>
      <c r="G13" s="41" t="s">
        <v>19</v>
      </c>
    </row>
    <row r="14" spans="2:7" ht="24" customHeight="1" thickBot="1" x14ac:dyDescent="0.35">
      <c r="B14" s="60"/>
      <c r="C14" s="61" t="s">
        <v>21</v>
      </c>
      <c r="D14" s="62"/>
      <c r="E14" s="63"/>
      <c r="F14" s="64"/>
      <c r="G14" s="65"/>
    </row>
    <row r="15" spans="2:7" ht="24" customHeight="1" x14ac:dyDescent="0.3">
      <c r="B15" s="74">
        <v>1</v>
      </c>
      <c r="C15" s="5" t="s">
        <v>24</v>
      </c>
      <c r="D15" s="3" t="s">
        <v>5</v>
      </c>
      <c r="E15" s="6">
        <v>450</v>
      </c>
      <c r="F15" s="30">
        <v>39</v>
      </c>
      <c r="G15" s="31">
        <f t="shared" ref="G15:G24" si="0">E15*F15</f>
        <v>17550</v>
      </c>
    </row>
    <row r="16" spans="2:7" ht="24" customHeight="1" x14ac:dyDescent="0.3">
      <c r="B16" s="74">
        <v>2</v>
      </c>
      <c r="C16" s="75" t="s">
        <v>26</v>
      </c>
      <c r="D16" s="3" t="s">
        <v>4</v>
      </c>
      <c r="E16" s="6">
        <v>26</v>
      </c>
      <c r="F16" s="30">
        <v>82</v>
      </c>
      <c r="G16" s="31">
        <f t="shared" si="0"/>
        <v>2132</v>
      </c>
    </row>
    <row r="17" spans="2:7 16374:16374" ht="24" customHeight="1" x14ac:dyDescent="0.3">
      <c r="B17" s="74">
        <v>3</v>
      </c>
      <c r="C17" s="75" t="s">
        <v>41</v>
      </c>
      <c r="D17" s="3" t="s">
        <v>4</v>
      </c>
      <c r="E17" s="6">
        <v>12</v>
      </c>
      <c r="F17" s="30">
        <v>550</v>
      </c>
      <c r="G17" s="31">
        <f>E17*F17</f>
        <v>6600</v>
      </c>
    </row>
    <row r="18" spans="2:7 16374:16374" ht="20.399999999999999" customHeight="1" x14ac:dyDescent="0.3">
      <c r="B18" s="74">
        <v>4</v>
      </c>
      <c r="C18" s="75" t="s">
        <v>27</v>
      </c>
      <c r="D18" s="3" t="s">
        <v>4</v>
      </c>
      <c r="E18" s="6">
        <v>1</v>
      </c>
      <c r="F18" s="30">
        <v>875</v>
      </c>
      <c r="G18" s="31">
        <f>E18*F18</f>
        <v>875</v>
      </c>
      <c r="XET18" s="2">
        <f>SUM(H18:XES18)</f>
        <v>0</v>
      </c>
    </row>
    <row r="19" spans="2:7 16374:16374" ht="24" customHeight="1" x14ac:dyDescent="0.3">
      <c r="B19" s="74">
        <v>5</v>
      </c>
      <c r="C19" s="75" t="s">
        <v>49</v>
      </c>
      <c r="D19" s="3" t="s">
        <v>4</v>
      </c>
      <c r="E19" s="6">
        <v>1</v>
      </c>
      <c r="F19" s="30">
        <v>325</v>
      </c>
      <c r="G19" s="31">
        <f>E19*F19</f>
        <v>325</v>
      </c>
    </row>
    <row r="20" spans="2:7 16374:16374" ht="20.399999999999999" customHeight="1" x14ac:dyDescent="0.3">
      <c r="B20" s="74">
        <v>6</v>
      </c>
      <c r="C20" s="75" t="s">
        <v>50</v>
      </c>
      <c r="D20" s="3" t="s">
        <v>4</v>
      </c>
      <c r="E20" s="6">
        <v>1</v>
      </c>
      <c r="F20" s="30">
        <v>325</v>
      </c>
      <c r="G20" s="31">
        <f>E20*F20</f>
        <v>325</v>
      </c>
    </row>
    <row r="21" spans="2:7 16374:16374" ht="20.399999999999999" customHeight="1" x14ac:dyDescent="0.3">
      <c r="B21" s="74">
        <v>7</v>
      </c>
      <c r="C21" s="75" t="s">
        <v>28</v>
      </c>
      <c r="D21" s="3" t="s">
        <v>6</v>
      </c>
      <c r="E21" s="6">
        <v>1</v>
      </c>
      <c r="F21" s="30">
        <v>1726</v>
      </c>
      <c r="G21" s="31">
        <f t="shared" ref="G21:G22" si="1">E21*F21</f>
        <v>1726</v>
      </c>
    </row>
    <row r="22" spans="2:7 16374:16374" ht="20.399999999999999" customHeight="1" x14ac:dyDescent="0.3">
      <c r="B22" s="74">
        <v>8</v>
      </c>
      <c r="C22" s="5" t="s">
        <v>29</v>
      </c>
      <c r="D22" s="3" t="s">
        <v>4</v>
      </c>
      <c r="E22" s="6">
        <v>1</v>
      </c>
      <c r="F22" s="30">
        <v>325</v>
      </c>
      <c r="G22" s="31">
        <f t="shared" si="1"/>
        <v>325</v>
      </c>
    </row>
    <row r="23" spans="2:7 16374:16374" ht="23.4" customHeight="1" x14ac:dyDescent="0.3">
      <c r="B23" s="74">
        <v>9</v>
      </c>
      <c r="C23" s="75" t="s">
        <v>30</v>
      </c>
      <c r="D23" s="3" t="s">
        <v>4</v>
      </c>
      <c r="E23" s="6">
        <v>3</v>
      </c>
      <c r="F23" s="30">
        <v>40.5</v>
      </c>
      <c r="G23" s="31">
        <f>E23*F23</f>
        <v>121.5</v>
      </c>
    </row>
    <row r="24" spans="2:7 16374:16374" ht="24" customHeight="1" thickBot="1" x14ac:dyDescent="0.35">
      <c r="B24" s="74">
        <v>10</v>
      </c>
      <c r="C24" s="5" t="s">
        <v>23</v>
      </c>
      <c r="D24" s="3" t="s">
        <v>6</v>
      </c>
      <c r="E24" s="6">
        <v>1</v>
      </c>
      <c r="F24" s="30">
        <v>3750</v>
      </c>
      <c r="G24" s="31">
        <f t="shared" si="0"/>
        <v>3750</v>
      </c>
    </row>
    <row r="25" spans="2:7 16374:16374" ht="23.4" customHeight="1" thickBot="1" x14ac:dyDescent="0.35">
      <c r="B25" s="28"/>
      <c r="C25" s="88" t="s">
        <v>11</v>
      </c>
      <c r="D25" s="89"/>
      <c r="E25" s="89"/>
      <c r="F25" s="90"/>
      <c r="G25" s="68">
        <f>SUM(G15:G24)</f>
        <v>33729.5</v>
      </c>
    </row>
    <row r="26" spans="2:7 16374:16374" ht="27" customHeight="1" thickBot="1" x14ac:dyDescent="0.35">
      <c r="B26" s="57"/>
      <c r="C26" s="58"/>
      <c r="D26" s="58"/>
      <c r="E26" s="58"/>
      <c r="F26" s="58"/>
      <c r="G26" s="59"/>
    </row>
    <row r="27" spans="2:7 16374:16374" ht="24" customHeight="1" thickBot="1" x14ac:dyDescent="0.35">
      <c r="B27" s="10"/>
      <c r="C27" s="11" t="s">
        <v>22</v>
      </c>
      <c r="D27" s="12"/>
      <c r="E27" s="13"/>
      <c r="F27" s="14"/>
      <c r="G27" s="15"/>
    </row>
    <row r="28" spans="2:7 16374:16374" ht="24" customHeight="1" x14ac:dyDescent="0.3">
      <c r="B28" s="76">
        <v>1</v>
      </c>
      <c r="C28" s="5" t="s">
        <v>43</v>
      </c>
      <c r="D28" s="3" t="s">
        <v>4</v>
      </c>
      <c r="E28" s="6">
        <v>1</v>
      </c>
      <c r="F28" s="30">
        <v>10845.3</v>
      </c>
      <c r="G28" s="31">
        <f t="shared" ref="G28:G37" si="2">E28*F28</f>
        <v>10845.3</v>
      </c>
    </row>
    <row r="29" spans="2:7 16374:16374" ht="28.8" customHeight="1" x14ac:dyDescent="0.3">
      <c r="B29" s="76">
        <v>2</v>
      </c>
      <c r="C29" s="5" t="s">
        <v>48</v>
      </c>
      <c r="D29" s="3" t="s">
        <v>4</v>
      </c>
      <c r="E29" s="6">
        <v>6</v>
      </c>
      <c r="F29" s="30">
        <v>3986.7</v>
      </c>
      <c r="G29" s="31">
        <f t="shared" si="2"/>
        <v>23920.199999999997</v>
      </c>
    </row>
    <row r="30" spans="2:7 16374:16374" ht="28.2" customHeight="1" x14ac:dyDescent="0.3">
      <c r="B30" s="76">
        <v>3</v>
      </c>
      <c r="C30" s="5" t="s">
        <v>31</v>
      </c>
      <c r="D30" s="3" t="s">
        <v>4</v>
      </c>
      <c r="E30" s="6">
        <v>6</v>
      </c>
      <c r="F30" s="30">
        <v>3847.5</v>
      </c>
      <c r="G30" s="31">
        <f t="shared" si="2"/>
        <v>23085</v>
      </c>
    </row>
    <row r="31" spans="2:7 16374:16374" ht="25.2" customHeight="1" x14ac:dyDescent="0.3">
      <c r="B31" s="76">
        <v>4</v>
      </c>
      <c r="C31" s="5" t="s">
        <v>38</v>
      </c>
      <c r="D31" s="3" t="s">
        <v>4</v>
      </c>
      <c r="E31" s="6">
        <v>1</v>
      </c>
      <c r="F31" s="30">
        <v>4101.3999999999996</v>
      </c>
      <c r="G31" s="31">
        <f t="shared" si="2"/>
        <v>4101.3999999999996</v>
      </c>
    </row>
    <row r="32" spans="2:7 16374:16374" ht="27.6" customHeight="1" x14ac:dyDescent="0.3">
      <c r="B32" s="76">
        <v>5</v>
      </c>
      <c r="C32" s="5" t="s">
        <v>45</v>
      </c>
      <c r="D32" s="3" t="s">
        <v>4</v>
      </c>
      <c r="E32" s="6">
        <v>1</v>
      </c>
      <c r="F32" s="30">
        <v>3228</v>
      </c>
      <c r="G32" s="31">
        <f t="shared" si="2"/>
        <v>3228</v>
      </c>
    </row>
    <row r="33" spans="2:15" ht="31.2" customHeight="1" x14ac:dyDescent="0.3">
      <c r="B33" s="76">
        <v>6</v>
      </c>
      <c r="C33" s="5" t="s">
        <v>40</v>
      </c>
      <c r="D33" s="3" t="s">
        <v>4</v>
      </c>
      <c r="E33" s="6">
        <v>1</v>
      </c>
      <c r="F33" s="30">
        <v>320.73</v>
      </c>
      <c r="G33" s="31">
        <f t="shared" si="2"/>
        <v>320.73</v>
      </c>
    </row>
    <row r="34" spans="2:15" ht="28.2" customHeight="1" x14ac:dyDescent="0.3">
      <c r="B34" s="76">
        <v>7</v>
      </c>
      <c r="C34" s="5" t="s">
        <v>44</v>
      </c>
      <c r="D34" s="3" t="s">
        <v>4</v>
      </c>
      <c r="E34" s="6">
        <v>1</v>
      </c>
      <c r="F34" s="30">
        <v>2168.88</v>
      </c>
      <c r="G34" s="31">
        <f t="shared" si="2"/>
        <v>2168.88</v>
      </c>
    </row>
    <row r="35" spans="2:15" ht="28.2" customHeight="1" x14ac:dyDescent="0.3">
      <c r="B35" s="76">
        <v>8</v>
      </c>
      <c r="C35" s="5" t="s">
        <v>32</v>
      </c>
      <c r="D35" s="3" t="s">
        <v>4</v>
      </c>
      <c r="E35" s="6">
        <v>12</v>
      </c>
      <c r="F35" s="30">
        <v>414.21</v>
      </c>
      <c r="G35" s="31">
        <f t="shared" si="2"/>
        <v>4970.5199999999995</v>
      </c>
    </row>
    <row r="36" spans="2:15" ht="24.6" customHeight="1" x14ac:dyDescent="0.3">
      <c r="B36" s="76">
        <v>9</v>
      </c>
      <c r="C36" s="5" t="s">
        <v>39</v>
      </c>
      <c r="D36" s="3" t="s">
        <v>4</v>
      </c>
      <c r="E36" s="6">
        <v>1</v>
      </c>
      <c r="F36" s="30">
        <v>545.29999999999995</v>
      </c>
      <c r="G36" s="31">
        <f t="shared" si="2"/>
        <v>545.29999999999995</v>
      </c>
    </row>
    <row r="37" spans="2:15" ht="33.6" customHeight="1" x14ac:dyDescent="0.3">
      <c r="B37" s="76">
        <v>10</v>
      </c>
      <c r="C37" s="5" t="s">
        <v>33</v>
      </c>
      <c r="D37" s="3" t="s">
        <v>4</v>
      </c>
      <c r="E37" s="6">
        <v>26</v>
      </c>
      <c r="F37" s="30">
        <v>9.1</v>
      </c>
      <c r="G37" s="31">
        <f t="shared" si="2"/>
        <v>236.6</v>
      </c>
    </row>
    <row r="38" spans="2:15" ht="24.6" customHeight="1" x14ac:dyDescent="0.3">
      <c r="B38" s="76">
        <v>11</v>
      </c>
      <c r="C38" s="5" t="s">
        <v>34</v>
      </c>
      <c r="D38" s="3" t="s">
        <v>4</v>
      </c>
      <c r="E38" s="6">
        <v>1</v>
      </c>
      <c r="F38" s="30">
        <v>2614.6</v>
      </c>
      <c r="G38" s="31">
        <f t="shared" ref="G38:G42" si="3">E38*F38</f>
        <v>2614.6</v>
      </c>
    </row>
    <row r="39" spans="2:15" ht="24" customHeight="1" x14ac:dyDescent="0.3">
      <c r="B39" s="76">
        <v>12</v>
      </c>
      <c r="C39" s="5" t="s">
        <v>46</v>
      </c>
      <c r="D39" s="3" t="s">
        <v>4</v>
      </c>
      <c r="E39" s="6">
        <v>1</v>
      </c>
      <c r="F39" s="30">
        <v>4417.2</v>
      </c>
      <c r="G39" s="31">
        <f t="shared" si="3"/>
        <v>4417.2</v>
      </c>
    </row>
    <row r="40" spans="2:15" ht="24" customHeight="1" x14ac:dyDescent="0.3">
      <c r="B40" s="76">
        <v>13</v>
      </c>
      <c r="C40" s="5" t="s">
        <v>35</v>
      </c>
      <c r="D40" s="3" t="s">
        <v>4</v>
      </c>
      <c r="E40" s="6">
        <v>1</v>
      </c>
      <c r="F40" s="30">
        <v>732</v>
      </c>
      <c r="G40" s="31">
        <f t="shared" si="3"/>
        <v>732</v>
      </c>
    </row>
    <row r="41" spans="2:15" ht="24" customHeight="1" x14ac:dyDescent="0.3">
      <c r="B41" s="76">
        <v>14</v>
      </c>
      <c r="C41" s="5" t="s">
        <v>36</v>
      </c>
      <c r="D41" s="3" t="s">
        <v>5</v>
      </c>
      <c r="E41" s="6">
        <v>450</v>
      </c>
      <c r="F41" s="30">
        <v>12.75</v>
      </c>
      <c r="G41" s="31">
        <f t="shared" si="3"/>
        <v>5737.5</v>
      </c>
    </row>
    <row r="42" spans="2:15" ht="24" customHeight="1" thickBot="1" x14ac:dyDescent="0.35">
      <c r="B42" s="76">
        <v>15</v>
      </c>
      <c r="C42" s="5" t="s">
        <v>37</v>
      </c>
      <c r="D42" s="3" t="s">
        <v>4</v>
      </c>
      <c r="E42" s="6">
        <v>4</v>
      </c>
      <c r="F42" s="30">
        <v>17.23</v>
      </c>
      <c r="G42" s="31">
        <f t="shared" si="3"/>
        <v>68.92</v>
      </c>
    </row>
    <row r="43" spans="2:15" ht="24" customHeight="1" thickBot="1" x14ac:dyDescent="0.35">
      <c r="B43" s="10"/>
      <c r="C43" s="91" t="s">
        <v>11</v>
      </c>
      <c r="D43" s="92"/>
      <c r="E43" s="92"/>
      <c r="F43" s="93"/>
      <c r="G43" s="69">
        <f>SUM(G28:G42)</f>
        <v>86992.150000000023</v>
      </c>
    </row>
    <row r="44" spans="2:15" ht="27.6" customHeight="1" thickBot="1" x14ac:dyDescent="0.35">
      <c r="B44" s="4"/>
      <c r="C44" s="7"/>
      <c r="D44" s="3"/>
      <c r="E44" s="6"/>
      <c r="F44" s="8"/>
      <c r="G44" s="32"/>
      <c r="L44" s="66"/>
      <c r="M44" s="67"/>
      <c r="N44" s="67"/>
      <c r="O44" s="1"/>
    </row>
    <row r="45" spans="2:15" ht="24.6" customHeight="1" thickBot="1" x14ac:dyDescent="0.35">
      <c r="B45" s="42"/>
      <c r="C45" s="78" t="s">
        <v>20</v>
      </c>
      <c r="D45" s="79"/>
      <c r="E45" s="79"/>
      <c r="F45" s="80"/>
      <c r="G45" s="44"/>
    </row>
    <row r="46" spans="2:15" ht="24" customHeight="1" x14ac:dyDescent="0.3">
      <c r="B46" s="45">
        <v>1</v>
      </c>
      <c r="C46" s="9" t="s">
        <v>10</v>
      </c>
      <c r="D46" s="46" t="s">
        <v>6</v>
      </c>
      <c r="E46" s="47">
        <v>1</v>
      </c>
      <c r="F46" s="48">
        <v>1250</v>
      </c>
      <c r="G46" s="49">
        <f t="shared" ref="G46:G50" si="4">E46*F46</f>
        <v>1250</v>
      </c>
    </row>
    <row r="47" spans="2:15" ht="20.399999999999999" customHeight="1" x14ac:dyDescent="0.3">
      <c r="B47" s="45">
        <v>2</v>
      </c>
      <c r="C47" s="9" t="s">
        <v>47</v>
      </c>
      <c r="D47" s="46" t="s">
        <v>6</v>
      </c>
      <c r="E47" s="47">
        <v>1</v>
      </c>
      <c r="F47" s="48">
        <v>4950</v>
      </c>
      <c r="G47" s="49">
        <f t="shared" ref="G47" si="5">E47*F47</f>
        <v>4950</v>
      </c>
    </row>
    <row r="48" spans="2:15" ht="20.25" customHeight="1" x14ac:dyDescent="0.3">
      <c r="B48" s="45">
        <v>3</v>
      </c>
      <c r="C48" s="9" t="s">
        <v>42</v>
      </c>
      <c r="D48" s="46" t="s">
        <v>6</v>
      </c>
      <c r="E48" s="47">
        <v>1</v>
      </c>
      <c r="F48" s="48">
        <v>4199</v>
      </c>
      <c r="G48" s="49">
        <f t="shared" si="4"/>
        <v>4199</v>
      </c>
    </row>
    <row r="49" spans="2:7" ht="20.25" customHeight="1" x14ac:dyDescent="0.3">
      <c r="B49" s="45">
        <v>4</v>
      </c>
      <c r="C49" s="5" t="s">
        <v>25</v>
      </c>
      <c r="D49" s="3" t="s">
        <v>6</v>
      </c>
      <c r="E49" s="6">
        <v>1</v>
      </c>
      <c r="F49" s="30">
        <v>4900</v>
      </c>
      <c r="G49" s="31">
        <f t="shared" si="4"/>
        <v>4900</v>
      </c>
    </row>
    <row r="50" spans="2:7" ht="20.25" customHeight="1" thickBot="1" x14ac:dyDescent="0.35">
      <c r="B50" s="45">
        <v>5</v>
      </c>
      <c r="C50" s="50" t="s">
        <v>7</v>
      </c>
      <c r="D50" s="51" t="s">
        <v>6</v>
      </c>
      <c r="E50" s="52">
        <v>1</v>
      </c>
      <c r="F50" s="53">
        <v>3850</v>
      </c>
      <c r="G50" s="54">
        <f t="shared" si="4"/>
        <v>3850</v>
      </c>
    </row>
    <row r="51" spans="2:7" ht="20.25" customHeight="1" thickBot="1" x14ac:dyDescent="0.35">
      <c r="B51" s="42"/>
      <c r="C51" s="43"/>
      <c r="D51" s="55"/>
      <c r="E51" s="55"/>
      <c r="F51" s="56" t="s">
        <v>11</v>
      </c>
      <c r="G51" s="70">
        <f>SUM(G46:G50)</f>
        <v>19149</v>
      </c>
    </row>
    <row r="52" spans="2:7" ht="27.6" customHeight="1" x14ac:dyDescent="0.3">
      <c r="B52" s="4"/>
      <c r="C52" s="7"/>
      <c r="D52" s="3"/>
      <c r="E52" s="6"/>
      <c r="F52" s="8"/>
      <c r="G52" s="32"/>
    </row>
    <row r="53" spans="2:7" ht="20.25" customHeight="1" x14ac:dyDescent="0.3">
      <c r="B53" s="23"/>
      <c r="C53" s="24" t="s">
        <v>1</v>
      </c>
      <c r="D53" s="25"/>
      <c r="E53" s="26"/>
      <c r="F53" s="27"/>
      <c r="G53" s="71">
        <f>G25+G43+G51</f>
        <v>139870.65000000002</v>
      </c>
    </row>
    <row r="54" spans="2:7" ht="20.25" customHeight="1" x14ac:dyDescent="0.3">
      <c r="B54" s="22"/>
      <c r="C54" s="16" t="s">
        <v>8</v>
      </c>
      <c r="D54" s="16"/>
      <c r="E54" s="17"/>
      <c r="F54" s="18"/>
      <c r="G54" s="72">
        <f>G53*0.21</f>
        <v>29372.836500000005</v>
      </c>
    </row>
    <row r="55" spans="2:7" ht="19.8" customHeight="1" thickBot="1" x14ac:dyDescent="0.35">
      <c r="B55" s="29"/>
      <c r="C55" s="19" t="s">
        <v>2</v>
      </c>
      <c r="D55" s="19"/>
      <c r="E55" s="20"/>
      <c r="F55" s="21"/>
      <c r="G55" s="73">
        <f>SUM(G53:G54)</f>
        <v>169243.48650000003</v>
      </c>
    </row>
    <row r="56" spans="2:7" ht="19.8" customHeight="1" x14ac:dyDescent="0.3">
      <c r="C56" s="1"/>
      <c r="E56"/>
    </row>
    <row r="57" spans="2:7" ht="19.8" customHeight="1" x14ac:dyDescent="0.3">
      <c r="D57" s="1"/>
      <c r="E57"/>
      <c r="F57" s="2"/>
    </row>
    <row r="58" spans="2:7" ht="20.25" customHeight="1" x14ac:dyDescent="0.3">
      <c r="D58" s="1"/>
      <c r="E58"/>
      <c r="F58" s="2"/>
    </row>
    <row r="59" spans="2:7" ht="20.25" customHeight="1" x14ac:dyDescent="0.3">
      <c r="D59" s="1"/>
      <c r="E59"/>
    </row>
    <row r="60" spans="2:7" ht="20.25" customHeight="1" x14ac:dyDescent="0.3">
      <c r="D60" s="1"/>
      <c r="E60"/>
    </row>
    <row r="61" spans="2:7" ht="20.25" customHeight="1" x14ac:dyDescent="0.3">
      <c r="D61" s="1"/>
      <c r="E61"/>
    </row>
    <row r="62" spans="2:7" ht="20.25" customHeight="1" x14ac:dyDescent="0.3">
      <c r="D62" s="1"/>
      <c r="E62"/>
    </row>
    <row r="63" spans="2:7" ht="20.399999999999999" customHeight="1" x14ac:dyDescent="0.3">
      <c r="G63" s="2"/>
    </row>
    <row r="64" spans="2:7" ht="20.25" customHeight="1" x14ac:dyDescent="0.3"/>
    <row r="65" ht="20.399999999999999" customHeight="1" x14ac:dyDescent="0.3"/>
    <row r="66" ht="20.399999999999999" customHeight="1" x14ac:dyDescent="0.3"/>
    <row r="67" ht="20.399999999999999" customHeight="1" x14ac:dyDescent="0.3"/>
    <row r="68" ht="20.399999999999999" customHeight="1" x14ac:dyDescent="0.3"/>
    <row r="69" ht="20.399999999999999" customHeight="1" x14ac:dyDescent="0.3"/>
    <row r="70" ht="20.399999999999999" customHeight="1" x14ac:dyDescent="0.3"/>
    <row r="71" ht="20.399999999999999" customHeight="1" x14ac:dyDescent="0.3"/>
    <row r="72" ht="24" customHeight="1" x14ac:dyDescent="0.3"/>
    <row r="73" ht="21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3.4" customHeight="1" x14ac:dyDescent="0.3"/>
  </sheetData>
  <mergeCells count="13">
    <mergeCell ref="B3:G3"/>
    <mergeCell ref="C45:F45"/>
    <mergeCell ref="C1:E2"/>
    <mergeCell ref="F1:G1"/>
    <mergeCell ref="F2:G2"/>
    <mergeCell ref="B13:C13"/>
    <mergeCell ref="D4:G4"/>
    <mergeCell ref="D6:F6"/>
    <mergeCell ref="D7:G7"/>
    <mergeCell ref="D8:G8"/>
    <mergeCell ref="D5:G5"/>
    <mergeCell ref="C25:F25"/>
    <mergeCell ref="C43:F43"/>
  </mergeCells>
  <pageMargins left="0.25" right="0.25" top="0.75" bottom="0.75" header="0.3" footer="0.3"/>
  <pageSetup paperSize="9" scale="5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Elektroinstalace</vt:lpstr>
      <vt:lpstr>Elektroinstalace!Oblast_tisku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2024-02-22T09:42:40Z</dcterms:created>
  <dcterms:modified xsi:type="dcterms:W3CDTF">2026-03-03T19:04:06Z</dcterms:modified>
  <cp:category/>
  <cp:contentStatus/>
</cp:coreProperties>
</file>