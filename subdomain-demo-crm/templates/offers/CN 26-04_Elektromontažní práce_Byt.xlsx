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124226"/>
  <xr:revisionPtr revIDLastSave="1020" documentId="13_ncr:1_{47C8F99B-2E50-4B99-9411-65838F162D1E}" xr6:coauthVersionLast="47" xr6:coauthVersionMax="47" xr10:uidLastSave="{889C8602-2341-454D-976F-2A76F7FE6CC7}"/>
  <bookViews>
    <workbookView xWindow="-108" yWindow="-108" windowWidth="23256" windowHeight="13896" xr2:uid="{00000000-000D-0000-FFFF-FFFF00000000}"/>
  </bookViews>
  <sheets>
    <sheet name="Elektroinstalace" sheetId="6" r:id="rId1"/>
  </sheets>
  <definedNames>
    <definedName name="_xlnm.Print_Area" localSheetId="0">Elektroinstalace!$A$1:$H$59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6" l="1"/>
  <c r="G18" i="6" l="1"/>
  <c r="G31" i="6" l="1"/>
  <c r="G30" i="6"/>
  <c r="G32" i="6"/>
  <c r="G20" i="6" l="1"/>
  <c r="G24" i="6"/>
  <c r="G41" i="6" l="1"/>
  <c r="G39" i="6"/>
  <c r="G23" i="6" l="1"/>
  <c r="G44" i="6" l="1"/>
  <c r="G43" i="6"/>
  <c r="G42" i="6"/>
  <c r="G40" i="6"/>
  <c r="G38" i="6"/>
  <c r="G37" i="6"/>
  <c r="G36" i="6"/>
  <c r="G45" i="6" l="1"/>
  <c r="G28" i="6" l="1"/>
  <c r="G27" i="6"/>
  <c r="G26" i="6"/>
  <c r="G25" i="6"/>
  <c r="G22" i="6"/>
  <c r="G21" i="6"/>
  <c r="G19" i="6"/>
  <c r="G17" i="6"/>
  <c r="G16" i="6"/>
  <c r="G33" i="6" l="1"/>
  <c r="G50" i="6" l="1"/>
  <c r="G49" i="6"/>
  <c r="G48" i="6"/>
  <c r="G51" i="6" l="1"/>
  <c r="G53" i="6" s="1"/>
  <c r="G54" i="6" l="1"/>
  <c r="G55" i="6" s="1"/>
  <c r="XEE14" i="6" l="1"/>
</calcChain>
</file>

<file path=xl/sharedStrings.xml><?xml version="1.0" encoding="utf-8"?>
<sst xmlns="http://schemas.openxmlformats.org/spreadsheetml/2006/main" count="85" uniqueCount="57">
  <si>
    <t>Popis položky</t>
  </si>
  <si>
    <t>CELKOVÁ CENA BEZ DPH</t>
  </si>
  <si>
    <t>CELKOVÁ CENA VČETNĚ DPH</t>
  </si>
  <si>
    <t>MJ</t>
  </si>
  <si>
    <t>ks</t>
  </si>
  <si>
    <t>m</t>
  </si>
  <si>
    <t>kpl</t>
  </si>
  <si>
    <t>Řízení zakázky a koordinační činnosti</t>
  </si>
  <si>
    <t>Doprava, logistika a manipulace materiálu</t>
  </si>
  <si>
    <t>DPH 21 %</t>
  </si>
  <si>
    <t>Množství</t>
  </si>
  <si>
    <t xml:space="preserve">Vedlejší práce, přesun hmot </t>
  </si>
  <si>
    <t>Denní úklid staveniště, odpady</t>
  </si>
  <si>
    <t>Celkem</t>
  </si>
  <si>
    <t>Rozměření a příprava staveniště</t>
  </si>
  <si>
    <t>Dodavatel:</t>
  </si>
  <si>
    <t>O&amp;L MasterDom s.r.o.</t>
  </si>
  <si>
    <t>Moskevská 1464/61 Praha 10 - Vršovice 101 00</t>
  </si>
  <si>
    <t>Tel: +420 608 643 634</t>
  </si>
  <si>
    <t xml:space="preserve">Název objektu: </t>
  </si>
  <si>
    <t>Jednotková cena bez DPH</t>
  </si>
  <si>
    <t>Celková cena bez DPH</t>
  </si>
  <si>
    <t>Objednatel:</t>
  </si>
  <si>
    <t>Číslo položky</t>
  </si>
  <si>
    <t xml:space="preserve">Montáž kabelů měděných bez ukončení, uložených ve vysekaných drážkách nebo po stěně a stropu, plných kulatých CYKY-J, počtu a průřezu žil 3x1,5 </t>
  </si>
  <si>
    <t>Kabel CYKY-J 3x1,5</t>
  </si>
  <si>
    <t>Kabel CYKY-J 3x2,5</t>
  </si>
  <si>
    <t xml:space="preserve">Montáž kabelů měděných bez ukončení, uložených ve vysekaných drážkách nebo po stěně a stropu, plných kulatých CYKY-J, počtu a průřezu žil 3x2,5 </t>
  </si>
  <si>
    <t>Plastová jednonásobná krabice univerzální šedá 68-70</t>
  </si>
  <si>
    <t>Krycí rámeček a záslepky</t>
  </si>
  <si>
    <t>Montáž a zapojení jednopólových vypínačů (polozapuštěné/zapuštěné), bezšroubové připojení vodičů, 230 V / 10 A</t>
  </si>
  <si>
    <t>Montáž a zapojení domovních zásuvek (polozapuštěné/zapuštěnéí), 230 V / 16 A, 2P + PE</t>
  </si>
  <si>
    <t>Nastavení a zapojení kabelů</t>
  </si>
  <si>
    <t>Montáž plastových krycích rámečků pro vypínače a zásuvky</t>
  </si>
  <si>
    <t>Ostatní práce</t>
  </si>
  <si>
    <t>IČO: 173 26 583</t>
  </si>
  <si>
    <t>Rozměření a vyvrtání otvorů pro elektroinstalační krabice Ø 68mm do stěn ze sádrokartonu</t>
  </si>
  <si>
    <t xml:space="preserve">Svorka připojovací, krytá </t>
  </si>
  <si>
    <t xml:space="preserve">Montáž krabic elektroinstalačních přístrojových plastových kruhových                Ø 68mm do zdiva bez napojení </t>
  </si>
  <si>
    <t xml:space="preserve">                                         Elektromontážní práce</t>
  </si>
  <si>
    <t>Rozměření a vyvrtání otvorů pro elektroinstalační krabice Ø 68mm  v železobetonové stěně</t>
  </si>
  <si>
    <t>Montáž a zapojení LED pásku</t>
  </si>
  <si>
    <t>Montáž a zapojení napájecího transformátoru a ovládání LED pásku</t>
  </si>
  <si>
    <t>Kabel CYKY-J 5x2,5</t>
  </si>
  <si>
    <t>Montáž kabelů měděných bez ukončení, uložených ve vysekaných drážkách nebo po stěně a stropu, plných kulatých CYKY-J, počtu a průřezu žil 5x2,5 pro varnou desku</t>
  </si>
  <si>
    <t>Práce silnoproud</t>
  </si>
  <si>
    <t>Materiál silnoproud</t>
  </si>
  <si>
    <t>Zásuvka obyč.16A 250V 2P+Z Legrand</t>
  </si>
  <si>
    <t>Vypínač jednopólový Legrand</t>
  </si>
  <si>
    <t xml:space="preserve">Drobný materiál a trasovací materiál </t>
  </si>
  <si>
    <t>Kontrola rozvodů kuchyně</t>
  </si>
  <si>
    <t>Frézování drážek pro kabely ve stěnách železobeton</t>
  </si>
  <si>
    <t>Zapojení elektrické varné desky</t>
  </si>
  <si>
    <t xml:space="preserve">             Cenová nabídka 26-04</t>
  </si>
  <si>
    <t>Datum vytvoření:  10.02.2026</t>
  </si>
  <si>
    <t>Platí do:                   24.02.2026</t>
  </si>
  <si>
    <t xml:space="preserve"> byt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</si>
</sst>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Kč&quot;"/>
    <numFmt numFmtId="165" formatCode="#,##0.00\ &quot;Kč&quot;"/>
  </numFmts>
  <fonts count="2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  <charset val="238"/>
    </font>
    <font>
      <sz val="10"/>
      <name val="Arial CE"/>
      <family val="2"/>
      <charset val="238"/>
    </font>
    <font>
      <b/>
      <sz val="14"/>
      <name val="Arial"/>
      <family val="2"/>
      <charset val="238"/>
    </font>
    <font>
      <sz val="12"/>
      <color theme="1"/>
      <name val="Arial"/>
      <family val="2"/>
      <charset val="238"/>
    </font>
    <font>
      <sz val="12"/>
      <name val="Arial"/>
      <family val="2"/>
      <charset val="238"/>
    </font>
    <font>
      <b/>
      <sz val="12"/>
      <name val="Arial"/>
      <family val="2"/>
      <charset val="238"/>
    </font>
    <font>
      <b/>
      <sz val="16"/>
      <name val="Arial"/>
      <family val="2"/>
      <charset val="238"/>
    </font>
    <font>
      <sz val="14"/>
      <name val="Arial"/>
      <family val="2"/>
      <charset val="238"/>
    </font>
    <font>
      <sz val="14"/>
      <color theme="1"/>
      <name val="Arial"/>
      <family val="2"/>
      <charset val="238"/>
    </font>
    <font>
      <b/>
      <sz val="12"/>
      <color rgb="FF002060"/>
      <name val="Calibri"/>
      <family val="2"/>
      <scheme val="minor"/>
    </font>
    <font>
      <sz val="14"/>
      <color rgb="FF002060"/>
      <name val="Calibri"/>
      <family val="2"/>
      <scheme val="minor"/>
    </font>
    <font>
      <b/>
      <sz val="28"/>
      <color rgb="FF002060"/>
      <name val="Aptos Narrow"/>
      <family val="2"/>
    </font>
    <font>
      <b/>
      <sz val="16"/>
      <color rgb="FF002060"/>
      <name val="Aptos Narrow"/>
      <family val="2"/>
    </font>
    <font>
      <sz val="12"/>
      <color rgb="FF00206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u/>
      <sz val="12"/>
      <color rgb="FF002060"/>
      <name val="Calibri"/>
      <family val="2"/>
      <scheme val="minor"/>
    </font>
    <font>
      <b/>
      <u/>
      <sz val="12"/>
      <color rgb="FF002060"/>
      <name val="Calibri"/>
      <family val="2"/>
      <charset val="238"/>
      <scheme val="minor"/>
    </font>
    <font>
      <b/>
      <sz val="12"/>
      <color rgb="FF002060"/>
      <name val="Calibri"/>
      <family val="2"/>
      <charset val="238"/>
      <scheme val="minor"/>
    </font>
    <font>
      <sz val="16"/>
      <color rgb="FF00206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7" fillId="0" borderId="0"/>
  </cellStyleXfs>
  <cellXfs count="97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 applyProtection="1">
      <alignment horizontal="left" vertical="center" wrapText="1"/>
      <protection locked="0"/>
    </xf>
    <xf numFmtId="3" fontId="5" fillId="0" borderId="1" xfId="0" applyNumberFormat="1" applyFont="1" applyBorder="1" applyAlignment="1">
      <alignment horizontal="right" vertical="center" wrapText="1"/>
    </xf>
    <xf numFmtId="0" fontId="7" fillId="0" borderId="0" xfId="0" applyFont="1" applyAlignment="1">
      <alignment horizontal="left"/>
    </xf>
    <xf numFmtId="0" fontId="5" fillId="0" borderId="8" xfId="0" applyFont="1" applyBorder="1" applyAlignment="1" applyProtection="1">
      <alignment horizontal="left" vertical="center" wrapText="1"/>
      <protection locked="0"/>
    </xf>
    <xf numFmtId="0" fontId="4" fillId="4" borderId="9" xfId="0" applyFont="1" applyFill="1" applyBorder="1" applyAlignment="1">
      <alignment horizontal="center"/>
    </xf>
    <xf numFmtId="164" fontId="5" fillId="4" borderId="13" xfId="0" applyNumberFormat="1" applyFont="1" applyFill="1" applyBorder="1" applyAlignment="1">
      <alignment horizontal="right" vertical="center" wrapText="1"/>
    </xf>
    <xf numFmtId="0" fontId="3" fillId="0" borderId="1" xfId="0" applyFont="1" applyBorder="1" applyAlignment="1" applyProtection="1">
      <alignment vertical="center" wrapText="1"/>
      <protection locked="0"/>
    </xf>
    <xf numFmtId="0" fontId="3" fillId="0" borderId="1" xfId="0" applyFont="1" applyBorder="1" applyAlignment="1" applyProtection="1">
      <alignment horizontal="right" vertical="center" wrapText="1"/>
      <protection locked="0"/>
    </xf>
    <xf numFmtId="3" fontId="3" fillId="0" borderId="1" xfId="0" applyNumberFormat="1" applyFont="1" applyBorder="1" applyAlignment="1" applyProtection="1">
      <alignment vertical="center" wrapText="1"/>
      <protection locked="0"/>
    </xf>
    <xf numFmtId="0" fontId="3" fillId="0" borderId="5" xfId="0" applyFont="1" applyBorder="1" applyAlignment="1" applyProtection="1">
      <alignment vertical="center" wrapText="1"/>
      <protection locked="0"/>
    </xf>
    <xf numFmtId="0" fontId="3" fillId="0" borderId="5" xfId="0" applyFont="1" applyBorder="1" applyAlignment="1" applyProtection="1">
      <alignment horizontal="right" vertical="center" wrapText="1"/>
      <protection locked="0"/>
    </xf>
    <xf numFmtId="3" fontId="3" fillId="0" borderId="5" xfId="0" applyNumberFormat="1" applyFont="1" applyBorder="1" applyAlignment="1" applyProtection="1">
      <alignment vertical="center" wrapText="1"/>
      <protection locked="0"/>
    </xf>
    <xf numFmtId="0" fontId="9" fillId="0" borderId="3" xfId="0" applyFont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right" vertical="center" wrapText="1"/>
    </xf>
    <xf numFmtId="3" fontId="3" fillId="2" borderId="1" xfId="0" applyNumberFormat="1" applyFont="1" applyFill="1" applyBorder="1" applyAlignment="1" applyProtection="1">
      <alignment vertical="center" wrapText="1"/>
      <protection locked="0"/>
    </xf>
    <xf numFmtId="0" fontId="4" fillId="3" borderId="9" xfId="0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 wrapText="1"/>
    </xf>
    <xf numFmtId="0" fontId="4" fillId="0" borderId="7" xfId="0" applyFont="1" applyBorder="1" applyAlignment="1">
      <alignment horizontal="center" vertical="center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/>
    </xf>
    <xf numFmtId="164" fontId="3" fillId="0" borderId="0" xfId="0" applyNumberFormat="1" applyFont="1" applyAlignment="1">
      <alignment horizontal="right" vertical="center" wrapText="1"/>
    </xf>
    <xf numFmtId="165" fontId="5" fillId="0" borderId="2" xfId="0" applyNumberFormat="1" applyFont="1" applyBorder="1" applyAlignment="1">
      <alignment horizontal="right" vertical="center" wrapText="1"/>
    </xf>
    <xf numFmtId="0" fontId="10" fillId="5" borderId="0" xfId="0" applyFont="1" applyFill="1" applyAlignment="1">
      <alignment horizontal="left" vertical="center" wrapText="1"/>
    </xf>
    <xf numFmtId="0" fontId="10" fillId="0" borderId="0" xfId="0" applyFont="1"/>
    <xf numFmtId="0" fontId="11" fillId="0" borderId="0" xfId="0" applyFont="1" applyAlignment="1">
      <alignment horizontal="left"/>
    </xf>
    <xf numFmtId="0" fontId="10" fillId="5" borderId="0" xfId="0" applyFont="1" applyFill="1" applyAlignment="1">
      <alignment vertical="center" wrapText="1"/>
    </xf>
    <xf numFmtId="0" fontId="14" fillId="0" borderId="0" xfId="0" applyFont="1"/>
    <xf numFmtId="0" fontId="16" fillId="0" borderId="0" xfId="0" applyFont="1"/>
    <xf numFmtId="0" fontId="16" fillId="5" borderId="0" xfId="0" applyFont="1" applyFill="1" applyAlignment="1">
      <alignment vertical="center" wrapText="1"/>
    </xf>
    <xf numFmtId="0" fontId="18" fillId="0" borderId="0" xfId="0" applyFont="1"/>
    <xf numFmtId="0" fontId="10" fillId="5" borderId="0" xfId="0" applyFont="1" applyFill="1" applyAlignment="1">
      <alignment wrapText="1"/>
    </xf>
    <xf numFmtId="0" fontId="15" fillId="6" borderId="9" xfId="0" applyFont="1" applyFill="1" applyBorder="1" applyAlignment="1">
      <alignment vertical="top" wrapText="1"/>
    </xf>
    <xf numFmtId="0" fontId="15" fillId="6" borderId="14" xfId="0" applyFont="1" applyFill="1" applyBorder="1" applyAlignment="1">
      <alignment horizontal="center" vertical="top" wrapText="1"/>
    </xf>
    <xf numFmtId="0" fontId="15" fillId="6" borderId="13" xfId="0" applyFont="1" applyFill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center" wrapText="1"/>
    </xf>
    <xf numFmtId="3" fontId="5" fillId="0" borderId="8" xfId="0" applyNumberFormat="1" applyFont="1" applyBorder="1" applyAlignment="1">
      <alignment horizontal="right" vertical="center" wrapText="1"/>
    </xf>
    <xf numFmtId="165" fontId="5" fillId="0" borderId="8" xfId="0" applyNumberFormat="1" applyFont="1" applyBorder="1" applyAlignment="1">
      <alignment horizontal="right" vertical="center" wrapText="1"/>
    </xf>
    <xf numFmtId="165" fontId="5" fillId="0" borderId="15" xfId="0" applyNumberFormat="1" applyFont="1" applyBorder="1" applyAlignment="1">
      <alignment horizontal="right" vertical="center" wrapText="1"/>
    </xf>
    <xf numFmtId="0" fontId="4" fillId="3" borderId="9" xfId="0" applyFont="1" applyFill="1" applyBorder="1"/>
    <xf numFmtId="3" fontId="6" fillId="3" borderId="13" xfId="0" applyNumberFormat="1" applyFont="1" applyFill="1" applyBorder="1" applyAlignment="1" applyProtection="1">
      <alignment vertical="center" wrapText="1"/>
      <protection locked="0"/>
    </xf>
    <xf numFmtId="4" fontId="13" fillId="0" borderId="0" xfId="0" applyNumberFormat="1" applyFont="1"/>
    <xf numFmtId="0" fontId="21" fillId="0" borderId="0" xfId="0" applyFont="1" applyAlignment="1">
      <alignment horizontal="left"/>
    </xf>
    <xf numFmtId="0" fontId="10" fillId="5" borderId="0" xfId="0" applyFont="1" applyFill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5" borderId="0" xfId="0" applyFont="1" applyFill="1" applyAlignment="1" applyProtection="1">
      <alignment horizontal="right" vertical="center" wrapText="1"/>
      <protection locked="0"/>
    </xf>
    <xf numFmtId="0" fontId="5" fillId="0" borderId="5" xfId="0" applyFont="1" applyBorder="1" applyAlignment="1" applyProtection="1">
      <alignment horizontal="left" vertical="center" wrapText="1"/>
      <protection locked="0"/>
    </xf>
    <xf numFmtId="0" fontId="5" fillId="0" borderId="5" xfId="0" applyFont="1" applyBorder="1" applyAlignment="1">
      <alignment horizontal="center" vertical="center" wrapText="1"/>
    </xf>
    <xf numFmtId="3" fontId="5" fillId="0" borderId="5" xfId="0" applyNumberFormat="1" applyFont="1" applyBorder="1" applyAlignment="1">
      <alignment horizontal="right" vertical="center" wrapText="1"/>
    </xf>
    <xf numFmtId="165" fontId="5" fillId="0" borderId="5" xfId="0" applyNumberFormat="1" applyFont="1" applyBorder="1" applyAlignment="1">
      <alignment horizontal="right" vertical="center" wrapText="1"/>
    </xf>
    <xf numFmtId="165" fontId="5" fillId="0" borderId="6" xfId="0" applyNumberFormat="1" applyFont="1" applyBorder="1" applyAlignment="1">
      <alignment horizontal="right" vertical="center" wrapText="1"/>
    </xf>
    <xf numFmtId="0" fontId="4" fillId="0" borderId="7" xfId="0" applyFont="1" applyBorder="1" applyAlignment="1">
      <alignment horizontal="center"/>
    </xf>
    <xf numFmtId="0" fontId="6" fillId="0" borderId="8" xfId="0" applyFont="1" applyBorder="1" applyAlignment="1">
      <alignment horizontal="left" vertical="center" wrapText="1"/>
    </xf>
    <xf numFmtId="3" fontId="6" fillId="0" borderId="8" xfId="0" applyNumberFormat="1" applyFont="1" applyBorder="1" applyAlignment="1" applyProtection="1">
      <alignment vertical="center" wrapText="1"/>
      <protection locked="0"/>
    </xf>
    <xf numFmtId="165" fontId="6" fillId="0" borderId="15" xfId="0" applyNumberFormat="1" applyFont="1" applyBorder="1" applyAlignment="1" applyProtection="1">
      <alignment vertical="center" wrapText="1"/>
      <protection locked="0"/>
    </xf>
    <xf numFmtId="0" fontId="4" fillId="7" borderId="9" xfId="0" applyFont="1" applyFill="1" applyBorder="1" applyAlignment="1">
      <alignment horizontal="center"/>
    </xf>
    <xf numFmtId="0" fontId="3" fillId="7" borderId="10" xfId="0" applyFont="1" applyFill="1" applyBorder="1" applyAlignment="1" applyProtection="1">
      <alignment horizontal="left" vertical="center" wrapText="1"/>
      <protection locked="0"/>
    </xf>
    <xf numFmtId="0" fontId="3" fillId="7" borderId="11" xfId="0" applyFont="1" applyFill="1" applyBorder="1" applyAlignment="1" applyProtection="1">
      <alignment horizontal="right" vertical="center" wrapText="1"/>
      <protection locked="0"/>
    </xf>
    <xf numFmtId="0" fontId="3" fillId="7" borderId="12" xfId="0" applyFont="1" applyFill="1" applyBorder="1" applyAlignment="1" applyProtection="1">
      <alignment horizontal="right" vertical="center" wrapText="1"/>
      <protection locked="0"/>
    </xf>
    <xf numFmtId="165" fontId="3" fillId="7" borderId="13" xfId="0" applyNumberFormat="1" applyFont="1" applyFill="1" applyBorder="1" applyAlignment="1">
      <alignment horizontal="right" vertical="center" wrapText="1"/>
    </xf>
    <xf numFmtId="0" fontId="4" fillId="5" borderId="0" xfId="0" applyFont="1" applyFill="1" applyAlignment="1">
      <alignment horizontal="center"/>
    </xf>
    <xf numFmtId="165" fontId="3" fillId="5" borderId="0" xfId="0" applyNumberFormat="1" applyFont="1" applyFill="1" applyAlignment="1">
      <alignment horizontal="right" vertical="center" wrapText="1"/>
    </xf>
    <xf numFmtId="164" fontId="3" fillId="4" borderId="13" xfId="0" applyNumberFormat="1" applyFont="1" applyFill="1" applyBorder="1" applyAlignment="1">
      <alignment horizontal="right" vertical="center" wrapText="1"/>
    </xf>
    <xf numFmtId="164" fontId="3" fillId="3" borderId="13" xfId="0" applyNumberFormat="1" applyFont="1" applyFill="1" applyBorder="1" applyAlignment="1">
      <alignment horizontal="right" vertical="center" wrapText="1"/>
    </xf>
    <xf numFmtId="164" fontId="3" fillId="7" borderId="13" xfId="0" applyNumberFormat="1" applyFont="1" applyFill="1" applyBorder="1" applyAlignment="1">
      <alignment horizontal="right" vertical="center" wrapText="1"/>
    </xf>
    <xf numFmtId="164" fontId="3" fillId="2" borderId="2" xfId="0" applyNumberFormat="1" applyFont="1" applyFill="1" applyBorder="1" applyAlignment="1" applyProtection="1">
      <alignment vertical="center" wrapText="1"/>
      <protection locked="0"/>
    </xf>
    <xf numFmtId="164" fontId="3" fillId="0" borderId="2" xfId="0" applyNumberFormat="1" applyFont="1" applyBorder="1" applyAlignment="1" applyProtection="1">
      <alignment vertical="center" wrapText="1"/>
      <protection locked="0"/>
    </xf>
    <xf numFmtId="164" fontId="3" fillId="0" borderId="6" xfId="0" applyNumberFormat="1" applyFont="1" applyBorder="1" applyAlignment="1" applyProtection="1">
      <alignment vertical="center" wrapText="1"/>
      <protection locked="0"/>
    </xf>
    <xf numFmtId="0" fontId="3" fillId="4" borderId="10" xfId="0" applyFont="1" applyFill="1" applyBorder="1" applyAlignment="1" applyProtection="1">
      <alignment horizontal="left" vertical="center" wrapText="1"/>
      <protection locked="0"/>
    </xf>
    <xf numFmtId="0" fontId="3" fillId="4" borderId="11" xfId="0" applyFont="1" applyFill="1" applyBorder="1" applyAlignment="1" applyProtection="1">
      <alignment horizontal="left" vertical="center" wrapText="1"/>
      <protection locked="0"/>
    </xf>
    <xf numFmtId="0" fontId="3" fillId="4" borderId="12" xfId="0" applyFont="1" applyFill="1" applyBorder="1" applyAlignment="1" applyProtection="1">
      <alignment horizontal="left" vertical="center" wrapText="1"/>
      <protection locked="0"/>
    </xf>
    <xf numFmtId="0" fontId="3" fillId="4" borderId="10" xfId="0" applyFont="1" applyFill="1" applyBorder="1" applyAlignment="1" applyProtection="1">
      <alignment horizontal="right" vertical="center" wrapText="1"/>
      <protection locked="0"/>
    </xf>
    <xf numFmtId="0" fontId="3" fillId="4" borderId="11" xfId="0" applyFont="1" applyFill="1" applyBorder="1" applyAlignment="1" applyProtection="1">
      <alignment horizontal="right" vertical="center" wrapText="1"/>
      <protection locked="0"/>
    </xf>
    <xf numFmtId="0" fontId="3" fillId="4" borderId="12" xfId="0" applyFont="1" applyFill="1" applyBorder="1" applyAlignment="1" applyProtection="1">
      <alignment horizontal="right" vertical="center" wrapText="1"/>
      <protection locked="0"/>
    </xf>
    <xf numFmtId="0" fontId="3" fillId="3" borderId="10" xfId="0" applyFont="1" applyFill="1" applyBorder="1" applyAlignment="1" applyProtection="1">
      <alignment horizontal="right" vertical="center" wrapText="1"/>
      <protection locked="0"/>
    </xf>
    <xf numFmtId="0" fontId="3" fillId="3" borderId="11" xfId="0" applyFont="1" applyFill="1" applyBorder="1" applyAlignment="1" applyProtection="1">
      <alignment horizontal="right" vertical="center" wrapText="1"/>
      <protection locked="0"/>
    </xf>
    <xf numFmtId="0" fontId="3" fillId="3" borderId="12" xfId="0" applyFont="1" applyFill="1" applyBorder="1" applyAlignment="1" applyProtection="1">
      <alignment horizontal="right" vertical="center" wrapText="1"/>
      <protection locked="0"/>
    </xf>
    <xf numFmtId="0" fontId="3" fillId="3" borderId="10" xfId="0" applyFont="1" applyFill="1" applyBorder="1" applyAlignment="1" applyProtection="1">
      <alignment horizontal="left" vertical="center" wrapText="1"/>
      <protection locked="0"/>
    </xf>
    <xf numFmtId="0" fontId="3" fillId="3" borderId="11" xfId="0" applyFont="1" applyFill="1" applyBorder="1" applyAlignment="1" applyProtection="1">
      <alignment horizontal="left" vertical="center" wrapText="1"/>
      <protection locked="0"/>
    </xf>
    <xf numFmtId="0" fontId="3" fillId="3" borderId="12" xfId="0" applyFont="1" applyFill="1" applyBorder="1" applyAlignment="1" applyProtection="1">
      <alignment horizontal="left" vertical="center" wrapText="1"/>
      <protection locked="0"/>
    </xf>
    <xf numFmtId="0" fontId="3" fillId="7" borderId="10" xfId="0" applyFont="1" applyFill="1" applyBorder="1" applyAlignment="1" applyProtection="1">
      <alignment horizontal="left" vertical="center" wrapText="1"/>
      <protection locked="0"/>
    </xf>
    <xf numFmtId="0" fontId="3" fillId="7" borderId="11" xfId="0" applyFont="1" applyFill="1" applyBorder="1" applyAlignment="1" applyProtection="1">
      <alignment horizontal="left" vertical="center" wrapText="1"/>
      <protection locked="0"/>
    </xf>
    <xf numFmtId="0" fontId="3" fillId="7" borderId="12" xfId="0" applyFont="1" applyFill="1" applyBorder="1" applyAlignment="1" applyProtection="1">
      <alignment horizontal="left" vertical="center" wrapText="1"/>
      <protection locked="0"/>
    </xf>
    <xf numFmtId="0" fontId="10" fillId="5" borderId="0" xfId="0" applyFont="1" applyFill="1" applyAlignment="1">
      <alignment horizontal="left" wrapText="1"/>
    </xf>
    <xf numFmtId="0" fontId="14" fillId="5" borderId="0" xfId="0" applyFont="1" applyFill="1" applyAlignment="1">
      <alignment horizontal="left" wrapText="1"/>
    </xf>
    <xf numFmtId="0" fontId="12" fillId="0" borderId="0" xfId="0" applyFont="1" applyAlignment="1">
      <alignment horizontal="center"/>
    </xf>
    <xf numFmtId="4" fontId="13" fillId="0" borderId="0" xfId="0" applyNumberFormat="1" applyFont="1" applyAlignment="1">
      <alignment horizontal="left"/>
    </xf>
    <xf numFmtId="0" fontId="20" fillId="0" borderId="0" xfId="0" applyFont="1" applyAlignment="1">
      <alignment horizontal="left"/>
    </xf>
    <xf numFmtId="0" fontId="19" fillId="0" borderId="0" xfId="0" applyFont="1" applyAlignment="1">
      <alignment horizontal="left"/>
    </xf>
  </cellXfs>
  <cellStyles count="3">
    <cellStyle name="Normální" xfId="0" builtinId="0"/>
    <cellStyle name="normální 2" xfId="2" xr:uid="{5FD4C043-2B62-4521-9270-1BE7F901F198}"/>
    <cellStyle name="Normální 3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179070</xdr:colOff>
      <xdr:row>0</xdr:row>
      <xdr:rowOff>0</xdr:rowOff>
    </xdr:from>
    <xdr:to>
      <xdr:col>2</xdr:col>
      <xdr:colOff>1444626</xdr:colOff>
      <xdr:row>3</xdr:row>
      <xdr:rowOff>34378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34FD0100-FF93-4FF8-8A2E-3377EDF85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" y="0"/>
          <a:ext cx="2612300" cy="13934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E9C1A-F322-40CC-939F-5B5AAA3EF7F4}">
  <sheetPr>
    <pageSetUpPr fitToPage="1"/>
  </sheetPr>
  <dimension ref="B1:XEE67"/>
  <sheetViews>
    <sheetView tabSelected="1" topLeftCell="A36" zoomScale="70" zoomScaleNormal="70" workbookViewId="0">
      <selection activeCell="L12" sqref="L12"/>
    </sheetView>
  </sheetViews>
  <sheetFormatPr defaultColWidth="8.6640625" defaultRowHeight="14.4" x14ac:dyDescent="0.3"/>
  <cols>
    <col min="1" max="1" width="11" customWidth="1"/>
    <col min="2" max="2" width="8.88671875" customWidth="1"/>
    <col min="3" max="3" width="74.109375" customWidth="1"/>
    <col min="4" max="4" width="6.109375" customWidth="1"/>
    <col min="5" max="5" width="10.33203125" style="1" customWidth="1"/>
    <col min="6" max="6" width="15.6640625" customWidth="1"/>
    <col min="7" max="7" width="20.109375" customWidth="1"/>
    <col min="8" max="8" width="4.44140625" customWidth="1"/>
  </cols>
  <sheetData>
    <row r="1" spans="2:7 16359:16359" ht="31.95" customHeight="1" x14ac:dyDescent="0.3">
      <c r="C1" s="93" t="s">
        <v>53</v>
      </c>
      <c r="D1" s="93"/>
      <c r="E1" s="93"/>
      <c r="F1" s="95" t="s">
        <v>54</v>
      </c>
      <c r="G1" s="95"/>
    </row>
    <row r="2" spans="2:7 16359:16359" ht="40.799999999999997" customHeight="1" x14ac:dyDescent="0.3">
      <c r="C2" s="93"/>
      <c r="D2" s="93"/>
      <c r="E2" s="93"/>
      <c r="F2" s="95" t="s">
        <v>55</v>
      </c>
      <c r="G2" s="95"/>
    </row>
    <row r="3" spans="2:7 16359:16359" ht="36" customHeight="1" x14ac:dyDescent="0.4">
      <c r="B3" s="6"/>
      <c r="C3" s="94" t="s">
        <v>39</v>
      </c>
      <c r="D3" s="94"/>
      <c r="E3" s="94"/>
      <c r="F3" s="48"/>
      <c r="G3" s="48"/>
    </row>
    <row r="4" spans="2:7 16359:16359" ht="21" customHeight="1" x14ac:dyDescent="0.3">
      <c r="B4" s="37" t="s">
        <v>15</v>
      </c>
      <c r="C4" s="31"/>
      <c r="D4" s="96" t="s">
        <v>22</v>
      </c>
      <c r="E4" s="96"/>
      <c r="F4" s="96"/>
      <c r="G4" s="96"/>
    </row>
    <row r="5" spans="2:7 16359:16359" ht="21.6" customHeight="1" x14ac:dyDescent="0.3">
      <c r="B5" s="31" t="s">
        <v>16</v>
      </c>
      <c r="C5" s="33"/>
      <c r="D5" s="91"/>
      <c r="E5" s="91"/>
      <c r="F5" s="91"/>
      <c r="G5" s="30"/>
    </row>
    <row r="6" spans="2:7 16359:16359" ht="21" customHeight="1" x14ac:dyDescent="0.3">
      <c r="B6" s="34" t="s">
        <v>35</v>
      </c>
      <c r="C6" s="33"/>
      <c r="D6" s="92"/>
      <c r="E6" s="91"/>
      <c r="F6" s="91"/>
      <c r="G6" s="30"/>
    </row>
    <row r="7" spans="2:7 16359:16359" ht="21.6" customHeight="1" x14ac:dyDescent="0.3">
      <c r="B7" s="34" t="s">
        <v>17</v>
      </c>
      <c r="C7" s="38"/>
      <c r="D7" s="92"/>
      <c r="E7" s="92"/>
      <c r="F7" s="92"/>
      <c r="G7" s="92"/>
    </row>
    <row r="8" spans="2:7 16359:16359" ht="30" customHeight="1" x14ac:dyDescent="0.3">
      <c r="B8" s="34" t="s">
        <v>18</v>
      </c>
      <c r="C8" s="33"/>
      <c r="D8" s="92"/>
      <c r="E8" s="92"/>
      <c r="F8" s="92"/>
      <c r="G8" s="92"/>
    </row>
    <row r="9" spans="2:7 16359:16359" ht="6.6" customHeight="1" x14ac:dyDescent="0.3">
      <c r="B9" s="34"/>
      <c r="C9" s="33"/>
      <c r="D9" s="30"/>
      <c r="E9" s="30"/>
      <c r="F9" s="30"/>
      <c r="G9" s="30"/>
    </row>
    <row r="10" spans="2:7 16359:16359" ht="17.399999999999999" customHeight="1" x14ac:dyDescent="0.35">
      <c r="B10" s="35"/>
      <c r="C10" s="36"/>
      <c r="D10" s="35" t="s">
        <v>19</v>
      </c>
      <c r="E10" s="36"/>
      <c r="F10" s="50"/>
      <c r="G10" s="50"/>
    </row>
    <row r="11" spans="2:7 16359:16359" ht="21" x14ac:dyDescent="0.4">
      <c r="B11" s="49"/>
      <c r="C11" s="36"/>
      <c r="D11" s="49" t="s">
        <v>56</v>
      </c>
      <c r="E11" s="36"/>
      <c r="F11" s="50"/>
      <c r="G11" s="50"/>
    </row>
    <row r="12" spans="2:7 16359:16359" ht="12" customHeight="1" thickBot="1" x14ac:dyDescent="0.4">
      <c r="B12" s="32"/>
      <c r="E12"/>
    </row>
    <row r="13" spans="2:7 16359:16359" ht="36.6" customHeight="1" thickBot="1" x14ac:dyDescent="0.35">
      <c r="B13" s="39" t="s">
        <v>23</v>
      </c>
      <c r="C13" s="40" t="s">
        <v>0</v>
      </c>
      <c r="D13" s="40" t="s">
        <v>3</v>
      </c>
      <c r="E13" s="40" t="s">
        <v>10</v>
      </c>
      <c r="F13" s="40" t="s">
        <v>20</v>
      </c>
      <c r="G13" s="41" t="s">
        <v>21</v>
      </c>
    </row>
    <row r="14" spans="2:7 16359:16359" ht="0.6" customHeight="1" thickBot="1" x14ac:dyDescent="0.35">
      <c r="B14" s="68"/>
      <c r="C14" s="53"/>
      <c r="D14" s="53"/>
      <c r="E14" s="53"/>
      <c r="F14" s="53"/>
      <c r="G14" s="69"/>
      <c r="XEE14" s="2">
        <f>SUM(H14:XED14)</f>
        <v>0</v>
      </c>
    </row>
    <row r="15" spans="2:7 16359:16359" ht="21" customHeight="1" thickBot="1" x14ac:dyDescent="0.35">
      <c r="B15" s="46"/>
      <c r="C15" s="85" t="s">
        <v>45</v>
      </c>
      <c r="D15" s="86"/>
      <c r="E15" s="86"/>
      <c r="F15" s="87"/>
      <c r="G15" s="47"/>
    </row>
    <row r="16" spans="2:7 16359:16359" ht="30.6" customHeight="1" x14ac:dyDescent="0.3">
      <c r="B16" s="25">
        <v>1</v>
      </c>
      <c r="C16" s="7" t="s">
        <v>14</v>
      </c>
      <c r="D16" s="42" t="s">
        <v>6</v>
      </c>
      <c r="E16" s="43">
        <v>1</v>
      </c>
      <c r="F16" s="44">
        <v>650</v>
      </c>
      <c r="G16" s="45">
        <f t="shared" ref="G16:G20" si="0">E16*F16</f>
        <v>650</v>
      </c>
    </row>
    <row r="17" spans="2:7" ht="31.2" customHeight="1" x14ac:dyDescent="0.3">
      <c r="B17" s="25">
        <v>2</v>
      </c>
      <c r="C17" s="4" t="s">
        <v>50</v>
      </c>
      <c r="D17" s="42" t="s">
        <v>6</v>
      </c>
      <c r="E17" s="43">
        <v>1</v>
      </c>
      <c r="F17" s="44">
        <v>450</v>
      </c>
      <c r="G17" s="45">
        <f t="shared" si="0"/>
        <v>450</v>
      </c>
    </row>
    <row r="18" spans="2:7" ht="31.2" customHeight="1" x14ac:dyDescent="0.3">
      <c r="B18" s="25">
        <v>3</v>
      </c>
      <c r="C18" s="4" t="s">
        <v>51</v>
      </c>
      <c r="D18" s="3" t="s">
        <v>5</v>
      </c>
      <c r="E18" s="5">
        <v>7</v>
      </c>
      <c r="F18" s="24">
        <v>214</v>
      </c>
      <c r="G18" s="29">
        <f t="shared" si="0"/>
        <v>1498</v>
      </c>
    </row>
    <row r="19" spans="2:7" ht="30.6" customHeight="1" x14ac:dyDescent="0.3">
      <c r="B19" s="25">
        <v>4</v>
      </c>
      <c r="C19" s="4" t="s">
        <v>36</v>
      </c>
      <c r="D19" s="3" t="s">
        <v>4</v>
      </c>
      <c r="E19" s="5">
        <v>9</v>
      </c>
      <c r="F19" s="24">
        <v>54</v>
      </c>
      <c r="G19" s="29">
        <f t="shared" si="0"/>
        <v>486</v>
      </c>
    </row>
    <row r="20" spans="2:7" ht="31.2" customHeight="1" x14ac:dyDescent="0.3">
      <c r="B20" s="25">
        <v>5</v>
      </c>
      <c r="C20" s="4" t="s">
        <v>40</v>
      </c>
      <c r="D20" s="3" t="s">
        <v>4</v>
      </c>
      <c r="E20" s="5">
        <v>5</v>
      </c>
      <c r="F20" s="24">
        <v>181</v>
      </c>
      <c r="G20" s="29">
        <f t="shared" si="0"/>
        <v>905</v>
      </c>
    </row>
    <row r="21" spans="2:7" ht="48.6" customHeight="1" x14ac:dyDescent="0.3">
      <c r="B21" s="25">
        <v>6</v>
      </c>
      <c r="C21" s="4" t="s">
        <v>24</v>
      </c>
      <c r="D21" s="3" t="s">
        <v>5</v>
      </c>
      <c r="E21" s="5">
        <v>35</v>
      </c>
      <c r="F21" s="24">
        <v>39</v>
      </c>
      <c r="G21" s="29">
        <f t="shared" ref="G21:G31" si="1">E21*F21</f>
        <v>1365</v>
      </c>
    </row>
    <row r="22" spans="2:7" ht="49.8" customHeight="1" x14ac:dyDescent="0.3">
      <c r="B22" s="25">
        <v>7</v>
      </c>
      <c r="C22" s="4" t="s">
        <v>27</v>
      </c>
      <c r="D22" s="3" t="s">
        <v>5</v>
      </c>
      <c r="E22" s="5">
        <v>55</v>
      </c>
      <c r="F22" s="24">
        <v>39</v>
      </c>
      <c r="G22" s="29">
        <f t="shared" si="1"/>
        <v>2145</v>
      </c>
    </row>
    <row r="23" spans="2:7" ht="49.2" customHeight="1" x14ac:dyDescent="0.3">
      <c r="B23" s="25">
        <v>8</v>
      </c>
      <c r="C23" s="4" t="s">
        <v>44</v>
      </c>
      <c r="D23" s="3" t="s">
        <v>5</v>
      </c>
      <c r="E23" s="5">
        <v>10</v>
      </c>
      <c r="F23" s="24">
        <v>39</v>
      </c>
      <c r="G23" s="29">
        <f t="shared" ref="G23" si="2">E23*F23</f>
        <v>390</v>
      </c>
    </row>
    <row r="24" spans="2:7" ht="31.2" customHeight="1" x14ac:dyDescent="0.3">
      <c r="B24" s="25">
        <v>9</v>
      </c>
      <c r="C24" s="4" t="s">
        <v>38</v>
      </c>
      <c r="D24" s="3" t="s">
        <v>4</v>
      </c>
      <c r="E24" s="5">
        <v>14</v>
      </c>
      <c r="F24" s="24">
        <v>44</v>
      </c>
      <c r="G24" s="29">
        <f t="shared" si="1"/>
        <v>616</v>
      </c>
    </row>
    <row r="25" spans="2:7" ht="31.2" customHeight="1" x14ac:dyDescent="0.3">
      <c r="B25" s="25">
        <v>10</v>
      </c>
      <c r="C25" s="4" t="s">
        <v>30</v>
      </c>
      <c r="D25" s="3" t="s">
        <v>4</v>
      </c>
      <c r="E25" s="5">
        <v>2</v>
      </c>
      <c r="F25" s="24">
        <v>178</v>
      </c>
      <c r="G25" s="29">
        <f t="shared" si="1"/>
        <v>356</v>
      </c>
    </row>
    <row r="26" spans="2:7" ht="30.6" customHeight="1" x14ac:dyDescent="0.3">
      <c r="B26" s="25">
        <v>11</v>
      </c>
      <c r="C26" s="4" t="s">
        <v>31</v>
      </c>
      <c r="D26" s="3" t="s">
        <v>4</v>
      </c>
      <c r="E26" s="5">
        <v>12</v>
      </c>
      <c r="F26" s="24">
        <v>178</v>
      </c>
      <c r="G26" s="29">
        <f t="shared" si="1"/>
        <v>2136</v>
      </c>
    </row>
    <row r="27" spans="2:7" ht="30.6" customHeight="1" x14ac:dyDescent="0.3">
      <c r="B27" s="25">
        <v>12</v>
      </c>
      <c r="C27" s="4" t="s">
        <v>32</v>
      </c>
      <c r="D27" s="3" t="s">
        <v>4</v>
      </c>
      <c r="E27" s="5">
        <v>5</v>
      </c>
      <c r="F27" s="24">
        <v>225</v>
      </c>
      <c r="G27" s="29">
        <f t="shared" si="1"/>
        <v>1125</v>
      </c>
    </row>
    <row r="28" spans="2:7" ht="30.6" customHeight="1" x14ac:dyDescent="0.3">
      <c r="B28" s="25">
        <v>13</v>
      </c>
      <c r="C28" s="4" t="s">
        <v>33</v>
      </c>
      <c r="D28" s="3" t="s">
        <v>6</v>
      </c>
      <c r="E28" s="5">
        <v>1</v>
      </c>
      <c r="F28" s="24">
        <v>425</v>
      </c>
      <c r="G28" s="29">
        <f t="shared" si="1"/>
        <v>425</v>
      </c>
    </row>
    <row r="29" spans="2:7" ht="30.6" customHeight="1" x14ac:dyDescent="0.3">
      <c r="B29" s="25">
        <v>14</v>
      </c>
      <c r="C29" s="4" t="s">
        <v>52</v>
      </c>
      <c r="D29" s="3" t="s">
        <v>4</v>
      </c>
      <c r="E29" s="5">
        <v>1</v>
      </c>
      <c r="F29" s="24">
        <v>450</v>
      </c>
      <c r="G29" s="29">
        <f t="shared" si="1"/>
        <v>450</v>
      </c>
    </row>
    <row r="30" spans="2:7" ht="29.4" customHeight="1" x14ac:dyDescent="0.3">
      <c r="B30" s="25">
        <v>15</v>
      </c>
      <c r="C30" s="4" t="s">
        <v>41</v>
      </c>
      <c r="D30" s="3" t="s">
        <v>4</v>
      </c>
      <c r="E30" s="5">
        <v>14</v>
      </c>
      <c r="F30" s="24">
        <v>325</v>
      </c>
      <c r="G30" s="29">
        <f t="shared" si="1"/>
        <v>4550</v>
      </c>
    </row>
    <row r="31" spans="2:7" ht="29.4" customHeight="1" x14ac:dyDescent="0.3">
      <c r="B31" s="25">
        <v>16</v>
      </c>
      <c r="C31" s="4" t="s">
        <v>42</v>
      </c>
      <c r="D31" s="3" t="s">
        <v>4</v>
      </c>
      <c r="E31" s="5">
        <v>4</v>
      </c>
      <c r="F31" s="24">
        <v>380</v>
      </c>
      <c r="G31" s="29">
        <f t="shared" si="1"/>
        <v>1520</v>
      </c>
    </row>
    <row r="32" spans="2:7" ht="29.4" customHeight="1" thickBot="1" x14ac:dyDescent="0.35">
      <c r="B32" s="25">
        <v>17</v>
      </c>
      <c r="C32" s="4" t="s">
        <v>12</v>
      </c>
      <c r="D32" s="3" t="s">
        <v>6</v>
      </c>
      <c r="E32" s="5">
        <v>1</v>
      </c>
      <c r="F32" s="24">
        <v>1420</v>
      </c>
      <c r="G32" s="29">
        <f t="shared" ref="G32" si="3">E32*F32</f>
        <v>1420</v>
      </c>
    </row>
    <row r="33" spans="2:7" ht="29.4" customHeight="1" thickBot="1" x14ac:dyDescent="0.35">
      <c r="B33" s="22"/>
      <c r="C33" s="82" t="s">
        <v>13</v>
      </c>
      <c r="D33" s="83"/>
      <c r="E33" s="83"/>
      <c r="F33" s="84"/>
      <c r="G33" s="71">
        <f>SUM(G16:G32)</f>
        <v>20487</v>
      </c>
    </row>
    <row r="34" spans="2:7" ht="29.4" customHeight="1" thickBot="1" x14ac:dyDescent="0.35">
      <c r="B34" s="27"/>
      <c r="C34" s="26"/>
      <c r="D34" s="26"/>
      <c r="E34" s="26"/>
      <c r="F34" s="26"/>
      <c r="G34" s="28"/>
    </row>
    <row r="35" spans="2:7" ht="29.4" customHeight="1" thickBot="1" x14ac:dyDescent="0.35">
      <c r="B35" s="8"/>
      <c r="C35" s="76" t="s">
        <v>46</v>
      </c>
      <c r="D35" s="77"/>
      <c r="E35" s="77"/>
      <c r="F35" s="78"/>
      <c r="G35" s="9"/>
    </row>
    <row r="36" spans="2:7" ht="28.8" customHeight="1" x14ac:dyDescent="0.3">
      <c r="B36" s="51">
        <v>1</v>
      </c>
      <c r="C36" s="7" t="s">
        <v>28</v>
      </c>
      <c r="D36" s="3" t="s">
        <v>4</v>
      </c>
      <c r="E36" s="5">
        <v>14</v>
      </c>
      <c r="F36" s="24">
        <v>17.5</v>
      </c>
      <c r="G36" s="29">
        <f t="shared" ref="G36:G44" si="4">E36*F36</f>
        <v>245</v>
      </c>
    </row>
    <row r="37" spans="2:7" ht="29.4" customHeight="1" x14ac:dyDescent="0.3">
      <c r="B37" s="52">
        <v>2</v>
      </c>
      <c r="C37" s="4" t="s">
        <v>25</v>
      </c>
      <c r="D37" s="3" t="s">
        <v>5</v>
      </c>
      <c r="E37" s="5">
        <v>35</v>
      </c>
      <c r="F37" s="24">
        <v>16.25</v>
      </c>
      <c r="G37" s="29">
        <f t="shared" si="4"/>
        <v>568.75</v>
      </c>
    </row>
    <row r="38" spans="2:7" ht="29.4" customHeight="1" x14ac:dyDescent="0.3">
      <c r="B38" s="51">
        <v>3</v>
      </c>
      <c r="C38" s="4" t="s">
        <v>26</v>
      </c>
      <c r="D38" s="3" t="s">
        <v>5</v>
      </c>
      <c r="E38" s="5">
        <v>55</v>
      </c>
      <c r="F38" s="24">
        <v>26.78</v>
      </c>
      <c r="G38" s="29">
        <f t="shared" si="4"/>
        <v>1472.9</v>
      </c>
    </row>
    <row r="39" spans="2:7" ht="29.4" customHeight="1" x14ac:dyDescent="0.3">
      <c r="B39" s="52">
        <v>4</v>
      </c>
      <c r="C39" s="4" t="s">
        <v>43</v>
      </c>
      <c r="D39" s="3" t="s">
        <v>5</v>
      </c>
      <c r="E39" s="5">
        <v>10</v>
      </c>
      <c r="F39" s="24">
        <v>42.65</v>
      </c>
      <c r="G39" s="29">
        <f t="shared" ref="G39" si="5">E39*F39</f>
        <v>426.5</v>
      </c>
    </row>
    <row r="40" spans="2:7" ht="29.4" customHeight="1" x14ac:dyDescent="0.3">
      <c r="B40" s="51">
        <v>5</v>
      </c>
      <c r="C40" s="4" t="s">
        <v>47</v>
      </c>
      <c r="D40" s="3" t="s">
        <v>4</v>
      </c>
      <c r="E40" s="5">
        <v>12</v>
      </c>
      <c r="F40" s="24">
        <v>189.08</v>
      </c>
      <c r="G40" s="29">
        <f t="shared" si="4"/>
        <v>2268.96</v>
      </c>
    </row>
    <row r="41" spans="2:7" ht="24" customHeight="1" x14ac:dyDescent="0.3">
      <c r="B41" s="52">
        <v>6</v>
      </c>
      <c r="C41" s="4" t="s">
        <v>48</v>
      </c>
      <c r="D41" s="3" t="s">
        <v>4</v>
      </c>
      <c r="E41" s="5">
        <v>2</v>
      </c>
      <c r="F41" s="24">
        <v>164.49</v>
      </c>
      <c r="G41" s="29">
        <f t="shared" ref="G41" si="6">E41*F41</f>
        <v>328.98</v>
      </c>
    </row>
    <row r="42" spans="2:7" ht="24" customHeight="1" x14ac:dyDescent="0.3">
      <c r="B42" s="51">
        <v>7</v>
      </c>
      <c r="C42" s="4" t="s">
        <v>29</v>
      </c>
      <c r="D42" s="3" t="s">
        <v>6</v>
      </c>
      <c r="E42" s="5">
        <v>1</v>
      </c>
      <c r="F42" s="24">
        <v>326.83999999999997</v>
      </c>
      <c r="G42" s="29">
        <f t="shared" si="4"/>
        <v>326.83999999999997</v>
      </c>
    </row>
    <row r="43" spans="2:7" ht="24" customHeight="1" x14ac:dyDescent="0.3">
      <c r="B43" s="52">
        <v>8</v>
      </c>
      <c r="C43" s="4" t="s">
        <v>37</v>
      </c>
      <c r="D43" s="3" t="s">
        <v>4</v>
      </c>
      <c r="E43" s="5">
        <v>10</v>
      </c>
      <c r="F43" s="24">
        <v>48.29</v>
      </c>
      <c r="G43" s="29">
        <f t="shared" si="4"/>
        <v>482.9</v>
      </c>
    </row>
    <row r="44" spans="2:7" ht="24" customHeight="1" thickBot="1" x14ac:dyDescent="0.35">
      <c r="B44" s="51">
        <v>9</v>
      </c>
      <c r="C44" s="4" t="s">
        <v>49</v>
      </c>
      <c r="D44" s="3" t="s">
        <v>6</v>
      </c>
      <c r="E44" s="5">
        <v>1</v>
      </c>
      <c r="F44" s="24">
        <v>2050</v>
      </c>
      <c r="G44" s="29">
        <f t="shared" si="4"/>
        <v>2050</v>
      </c>
    </row>
    <row r="45" spans="2:7" ht="24" customHeight="1" thickBot="1" x14ac:dyDescent="0.35">
      <c r="B45" s="8"/>
      <c r="C45" s="79" t="s">
        <v>13</v>
      </c>
      <c r="D45" s="80"/>
      <c r="E45" s="80"/>
      <c r="F45" s="81"/>
      <c r="G45" s="70">
        <f>SUM(G36:G44)</f>
        <v>8170.83</v>
      </c>
    </row>
    <row r="46" spans="2:7" ht="24" customHeight="1" thickBot="1" x14ac:dyDescent="0.35">
      <c r="B46" s="68"/>
      <c r="C46" s="53"/>
      <c r="D46" s="53"/>
      <c r="E46" s="53"/>
      <c r="F46" s="53"/>
      <c r="G46" s="69"/>
    </row>
    <row r="47" spans="2:7" ht="24" customHeight="1" thickBot="1" x14ac:dyDescent="0.35">
      <c r="B47" s="63"/>
      <c r="C47" s="88" t="s">
        <v>34</v>
      </c>
      <c r="D47" s="89"/>
      <c r="E47" s="89"/>
      <c r="F47" s="90"/>
      <c r="G47" s="67"/>
    </row>
    <row r="48" spans="2:7" ht="23.4" customHeight="1" x14ac:dyDescent="0.3">
      <c r="B48" s="25">
        <v>1</v>
      </c>
      <c r="C48" s="7" t="s">
        <v>11</v>
      </c>
      <c r="D48" s="42" t="s">
        <v>6</v>
      </c>
      <c r="E48" s="43">
        <v>1</v>
      </c>
      <c r="F48" s="44">
        <v>1240</v>
      </c>
      <c r="G48" s="45">
        <f t="shared" ref="G48:G50" si="7">E48*F48</f>
        <v>1240</v>
      </c>
    </row>
    <row r="49" spans="2:7" ht="23.4" customHeight="1" x14ac:dyDescent="0.3">
      <c r="B49" s="25">
        <v>2</v>
      </c>
      <c r="C49" s="4" t="s">
        <v>7</v>
      </c>
      <c r="D49" s="3" t="s">
        <v>6</v>
      </c>
      <c r="E49" s="5">
        <v>1</v>
      </c>
      <c r="F49" s="24">
        <v>2950</v>
      </c>
      <c r="G49" s="29">
        <f t="shared" si="7"/>
        <v>2950</v>
      </c>
    </row>
    <row r="50" spans="2:7" ht="24" customHeight="1" thickBot="1" x14ac:dyDescent="0.35">
      <c r="B50" s="25">
        <v>3</v>
      </c>
      <c r="C50" s="54" t="s">
        <v>8</v>
      </c>
      <c r="D50" s="55" t="s">
        <v>6</v>
      </c>
      <c r="E50" s="56">
        <v>1</v>
      </c>
      <c r="F50" s="57">
        <v>1800</v>
      </c>
      <c r="G50" s="58">
        <f t="shared" si="7"/>
        <v>1800</v>
      </c>
    </row>
    <row r="51" spans="2:7" ht="24" customHeight="1" thickBot="1" x14ac:dyDescent="0.35">
      <c r="B51" s="63"/>
      <c r="C51" s="64"/>
      <c r="D51" s="65"/>
      <c r="E51" s="65"/>
      <c r="F51" s="66" t="s">
        <v>13</v>
      </c>
      <c r="G51" s="72">
        <f>SUM(G48:G50)</f>
        <v>5990</v>
      </c>
    </row>
    <row r="52" spans="2:7" ht="24" customHeight="1" x14ac:dyDescent="0.3">
      <c r="B52" s="59"/>
      <c r="C52" s="60"/>
      <c r="D52" s="42"/>
      <c r="E52" s="43"/>
      <c r="F52" s="61"/>
      <c r="G52" s="62"/>
    </row>
    <row r="53" spans="2:7" ht="24" customHeight="1" x14ac:dyDescent="0.3">
      <c r="B53" s="17"/>
      <c r="C53" s="18" t="s">
        <v>1</v>
      </c>
      <c r="D53" s="19"/>
      <c r="E53" s="20"/>
      <c r="F53" s="21"/>
      <c r="G53" s="73">
        <f>+G33+G45+G51</f>
        <v>34647.83</v>
      </c>
    </row>
    <row r="54" spans="2:7" ht="24" customHeight="1" x14ac:dyDescent="0.3">
      <c r="B54" s="16"/>
      <c r="C54" s="10" t="s">
        <v>9</v>
      </c>
      <c r="D54" s="10"/>
      <c r="E54" s="11"/>
      <c r="F54" s="12"/>
      <c r="G54" s="74">
        <f>G53*0.21</f>
        <v>7276.0443000000005</v>
      </c>
    </row>
    <row r="55" spans="2:7" ht="24" customHeight="1" thickBot="1" x14ac:dyDescent="0.35">
      <c r="B55" s="23"/>
      <c r="C55" s="13" t="s">
        <v>2</v>
      </c>
      <c r="D55" s="13"/>
      <c r="E55" s="14"/>
      <c r="F55" s="15"/>
      <c r="G55" s="75">
        <f>SUM(G53:G54)</f>
        <v>41923.874300000003</v>
      </c>
    </row>
    <row r="56" spans="2:7" ht="24" customHeight="1" x14ac:dyDescent="0.3">
      <c r="C56" s="1"/>
      <c r="E56"/>
    </row>
    <row r="57" spans="2:7" ht="24" customHeight="1" x14ac:dyDescent="0.3">
      <c r="D57" s="1"/>
      <c r="E57"/>
      <c r="F57" s="2"/>
    </row>
    <row r="58" spans="2:7" ht="24" customHeight="1" x14ac:dyDescent="0.3">
      <c r="D58" s="1"/>
      <c r="E58"/>
      <c r="F58" s="2"/>
    </row>
    <row r="59" spans="2:7" ht="24" customHeight="1" x14ac:dyDescent="0.3">
      <c r="D59" s="1"/>
      <c r="E59"/>
    </row>
    <row r="60" spans="2:7" ht="23.4" customHeight="1" x14ac:dyDescent="0.3">
      <c r="D60" s="1"/>
      <c r="E60"/>
    </row>
    <row r="61" spans="2:7" ht="23.4" customHeight="1" x14ac:dyDescent="0.3">
      <c r="D61" s="1"/>
      <c r="E61"/>
    </row>
    <row r="62" spans="2:7" ht="24" customHeight="1" x14ac:dyDescent="0.3">
      <c r="D62" s="1"/>
      <c r="E62"/>
    </row>
    <row r="63" spans="2:7" ht="24" customHeight="1" x14ac:dyDescent="0.3">
      <c r="G63" s="2"/>
    </row>
    <row r="64" spans="2:7" ht="32.4" customHeight="1" x14ac:dyDescent="0.3"/>
    <row r="65" ht="24" customHeight="1" x14ac:dyDescent="0.3"/>
    <row r="66" ht="24" customHeight="1" x14ac:dyDescent="0.3"/>
    <row r="67" ht="24" customHeight="1" x14ac:dyDescent="0.3"/>
  </sheetData>
  <mergeCells count="14">
    <mergeCell ref="D5:F5"/>
    <mergeCell ref="D6:F6"/>
    <mergeCell ref="D7:G7"/>
    <mergeCell ref="D8:G8"/>
    <mergeCell ref="C1:E2"/>
    <mergeCell ref="C3:E3"/>
    <mergeCell ref="F1:G1"/>
    <mergeCell ref="F2:G2"/>
    <mergeCell ref="D4:G4"/>
    <mergeCell ref="C35:F35"/>
    <mergeCell ref="C45:F45"/>
    <mergeCell ref="C33:F33"/>
    <mergeCell ref="C15:F15"/>
    <mergeCell ref="C47:F47"/>
  </mergeCells>
  <pageMargins left="0.25" right="0.25" top="0.75" bottom="0.75" header="0.3" footer="0.3"/>
  <pageSetup scale="6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Elektroinstalace</vt:lpstr>
      <vt:lpstr>Elektroinstalace!Oblast_tisku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2024-02-22T09:42:40Z</dcterms:created>
  <dcterms:modified xsi:type="dcterms:W3CDTF">2026-03-03T19:03:15Z</dcterms:modified>
  <cp:category/>
  <cp:contentStatus/>
</cp:coreProperties>
</file>